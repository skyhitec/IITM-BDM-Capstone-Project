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Invoice (24 Dec 2025)" sheetId="1" state="visible" r:id="rId1"/>
    <sheet xmlns:r="http://schemas.openxmlformats.org/officeDocument/2006/relationships" name="Jan 2026" sheetId="2" state="visible" r:id="rId2"/>
    <sheet xmlns:r="http://schemas.openxmlformats.org/officeDocument/2006/relationships" name="Feb 2026" sheetId="3" state="visible" r:id="rId3"/>
    <sheet xmlns:r="http://schemas.openxmlformats.org/officeDocument/2006/relationships" name="Mar 2026" sheetId="4" state="visible" r:id="rId4"/>
    <sheet xmlns:r="http://schemas.openxmlformats.org/officeDocument/2006/relationships" name="Apr 2026" sheetId="5" state="visible" r:id="rId5"/>
    <sheet xmlns:r="http://schemas.openxmlformats.org/officeDocument/2006/relationships" name="May 2026" sheetId="6" state="visible" r:id="rId6"/>
    <sheet xmlns:r="http://schemas.openxmlformats.org/officeDocument/2006/relationships" name="June 2026" sheetId="7" state="visible" r:id="rId7"/>
    <sheet xmlns:r="http://schemas.openxmlformats.org/officeDocument/2006/relationships" name="ABC &amp; FSN Analysis" sheetId="8" state="visible" r:id="rId8"/>
    <sheet xmlns:r="http://schemas.openxmlformats.org/officeDocument/2006/relationships" name="Monthly Sales Summary" sheetId="9" state="visible" r:id="rId9"/>
    <sheet xmlns:r="http://schemas.openxmlformats.org/officeDocument/2006/relationships" name="Descriptive 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A73E8"/>
      <sz val="12"/>
    </font>
    <font>
      <name val="Calibri"/>
      <b val="1"/>
      <sz val="11"/>
    </font>
    <font>
      <name val="Calibri"/>
      <sz val="11"/>
    </font>
    <font>
      <name val="Calibri"/>
      <b val="1"/>
      <color rgb="001A73E8"/>
      <sz val="14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Anand Pharma — Monthly Revenue Trend (Jan 2026 - June 2026)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Summary'!$A$2:$A$7</f>
            </numRef>
          </cat>
          <val>
            <numRef>
              <f>'Monthly Sales Summary'!$B$2:$B$7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 — SONU PHARMA (PATNA)</t>
        </is>
      </c>
    </row>
    <row r="2">
      <c r="A2" t="inlineStr">
        <is>
          <t>E-11 MAHIMA PLACES, M ROAD PATNA-4 | GSTIN: 10BRQPK2981Q2Z4 | Phone: 9801920752</t>
        </is>
      </c>
    </row>
    <row r="4">
      <c r="A4" t="inlineStr">
        <is>
          <t>Billed To:</t>
        </is>
      </c>
      <c r="B4" t="inlineStr">
        <is>
          <t>M/s. ANAND PHARMA</t>
        </is>
      </c>
      <c r="G4" t="inlineStr">
        <is>
          <t>Invoice No:</t>
        </is>
      </c>
      <c r="H4" t="inlineStr">
        <is>
          <t>1000343</t>
        </is>
      </c>
    </row>
    <row r="5">
      <c r="A5" t="inlineStr">
        <is>
          <t>Address:</t>
        </is>
      </c>
      <c r="B5" t="inlineStr">
        <is>
          <t>V.I.P ROAD, ALLALPATTI, DARBHANGA, BIHAR (GSTIN: 10AEY3656A1Z4)</t>
        </is>
      </c>
      <c r="G5" t="inlineStr">
        <is>
          <t>Invoice Date:</t>
        </is>
      </c>
      <c r="H5" t="inlineStr">
        <is>
          <t>24-12-2025</t>
        </is>
      </c>
    </row>
    <row r="7">
      <c r="A7" t="inlineStr">
        <is>
          <t>S.No</t>
        </is>
      </c>
      <c r="B7" t="inlineStr">
        <is>
          <t>Product Name</t>
        </is>
      </c>
      <c r="C7" t="inlineStr">
        <is>
          <t>MFG / Pack</t>
        </is>
      </c>
      <c r="D7" t="inlineStr">
        <is>
          <t>Batch No</t>
        </is>
      </c>
      <c r="E7" t="inlineStr">
        <is>
          <t>Exp. Date</t>
        </is>
      </c>
      <c r="F7" t="inlineStr">
        <is>
          <t>MRP (₹)</t>
        </is>
      </c>
      <c r="G7" t="inlineStr">
        <is>
          <t>Purchase Rate (₹)</t>
        </is>
      </c>
      <c r="H7" t="inlineStr">
        <is>
          <t>Qty</t>
        </is>
      </c>
      <c r="I7" t="inlineStr">
        <is>
          <t>Total Amount (₹)</t>
        </is>
      </c>
    </row>
    <row r="8">
      <c r="A8" t="n">
        <v>1</v>
      </c>
      <c r="B8" t="inlineStr">
        <is>
          <t>ALBEMETH PLUS INJ</t>
        </is>
      </c>
      <c r="C8" t="inlineStr">
        <is>
          <t>ALBER:2ML</t>
        </is>
      </c>
      <c r="D8" t="inlineStr">
        <is>
          <t>D25AM252</t>
        </is>
      </c>
      <c r="E8" t="inlineStr">
        <is>
          <t>03/2026</t>
        </is>
      </c>
      <c r="F8" t="n">
        <v>131.7</v>
      </c>
      <c r="G8" t="n">
        <v>14</v>
      </c>
      <c r="H8" t="n">
        <v>20</v>
      </c>
      <c r="I8">
        <f>G8*H8</f>
        <v/>
      </c>
    </row>
    <row r="9">
      <c r="A9" t="n">
        <v>2</v>
      </c>
      <c r="B9" t="inlineStr">
        <is>
          <t>GLONIS AD 170 ML</t>
        </is>
      </c>
      <c r="C9" t="inlineStr">
        <is>
          <t>GLORI:1</t>
        </is>
      </c>
      <c r="D9" t="inlineStr">
        <is>
          <t>AE-2547</t>
        </is>
      </c>
      <c r="E9" t="inlineStr">
        <is>
          <t>09/2027</t>
        </is>
      </c>
      <c r="F9" t="n">
        <v>225</v>
      </c>
      <c r="G9" t="n">
        <v>60</v>
      </c>
      <c r="H9" t="n">
        <v>12</v>
      </c>
      <c r="I9">
        <f>G9*H9</f>
        <v/>
      </c>
    </row>
    <row r="10">
      <c r="A10" t="n">
        <v>3</v>
      </c>
      <c r="B10" t="inlineStr">
        <is>
          <t>ITRALBERT 200MG CAP</t>
        </is>
      </c>
      <c r="C10" t="inlineStr">
        <is>
          <t>ALBER:10*10</t>
        </is>
      </c>
      <c r="D10" t="inlineStr">
        <is>
          <t>DE25019</t>
        </is>
      </c>
      <c r="E10" t="inlineStr">
        <is>
          <t>05/2026</t>
        </is>
      </c>
      <c r="F10" t="n">
        <v>247.74</v>
      </c>
      <c r="G10" t="n">
        <v>68</v>
      </c>
      <c r="H10" t="n">
        <v>20</v>
      </c>
      <c r="I10">
        <f>G10*H10</f>
        <v/>
      </c>
    </row>
    <row r="11">
      <c r="A11" t="n">
        <v>4</v>
      </c>
      <c r="B11" t="inlineStr">
        <is>
          <t>KTSPERM 15GM</t>
        </is>
      </c>
      <c r="C11" t="inlineStr">
        <is>
          <t>LABOR:1*30</t>
        </is>
      </c>
      <c r="D11" t="inlineStr">
        <is>
          <t>NKR-2536</t>
        </is>
      </c>
      <c r="E11" t="inlineStr">
        <is>
          <t>11/2027</t>
        </is>
      </c>
      <c r="F11" t="n">
        <v>105</v>
      </c>
      <c r="G11" t="n">
        <v>13.75</v>
      </c>
      <c r="H11" t="n">
        <v>60</v>
      </c>
      <c r="I11">
        <f>G11*H11</f>
        <v/>
      </c>
    </row>
    <row r="12">
      <c r="A12" t="n">
        <v>5</v>
      </c>
      <c r="B12" t="inlineStr">
        <is>
          <t>KETOMAC SHAMPOO</t>
        </is>
      </c>
      <c r="C12" t="inlineStr">
        <is>
          <t>TORQU:75</t>
        </is>
      </c>
      <c r="D12" t="inlineStr">
        <is>
          <t>B259230</t>
        </is>
      </c>
      <c r="E12" t="inlineStr">
        <is>
          <t>08/2026</t>
        </is>
      </c>
      <c r="F12" t="n">
        <v>220</v>
      </c>
      <c r="G12" t="n">
        <v>130</v>
      </c>
      <c r="H12" t="n">
        <v>6</v>
      </c>
      <c r="I12">
        <f>G12*H12</f>
        <v/>
      </c>
    </row>
    <row r="13">
      <c r="A13" t="n">
        <v>6</v>
      </c>
      <c r="B13" t="inlineStr">
        <is>
          <t>CLOBETA GM 10GM</t>
        </is>
      </c>
      <c r="C13" t="inlineStr">
        <is>
          <t>LABOR:10</t>
        </is>
      </c>
      <c r="D13" t="inlineStr">
        <is>
          <t>NC-2574</t>
        </is>
      </c>
      <c r="E13" t="inlineStr">
        <is>
          <t>04/2027</t>
        </is>
      </c>
      <c r="F13" t="n">
        <v>73.75</v>
      </c>
      <c r="G13" t="n">
        <v>8.5</v>
      </c>
      <c r="H13" t="n">
        <v>144</v>
      </c>
      <c r="I13">
        <f>G13*H13</f>
        <v/>
      </c>
    </row>
    <row r="14">
      <c r="A14" t="n">
        <v>7</v>
      </c>
      <c r="B14" t="inlineStr">
        <is>
          <t>CALZAC CT CAP</t>
        </is>
      </c>
      <c r="C14" t="inlineStr">
        <is>
          <t>RANBA:200</t>
        </is>
      </c>
      <c r="D14" t="inlineStr">
        <is>
          <t>GPA25034</t>
        </is>
      </c>
      <c r="E14" t="inlineStr">
        <is>
          <t>07/2026</t>
        </is>
      </c>
      <c r="F14" t="n">
        <v>3450</v>
      </c>
      <c r="G14" t="n">
        <v>240</v>
      </c>
      <c r="H14" t="n">
        <v>3</v>
      </c>
      <c r="I14">
        <f>G14*H14</f>
        <v/>
      </c>
    </row>
    <row r="15">
      <c r="A15" t="n">
        <v>8</v>
      </c>
      <c r="B15" t="inlineStr">
        <is>
          <t>GENSOLIN TAB (20*10)</t>
        </is>
      </c>
      <c r="C15" t="inlineStr">
        <is>
          <t>MEDLE:200</t>
        </is>
      </c>
      <c r="D15" t="inlineStr">
        <is>
          <t>VD25030</t>
        </is>
      </c>
      <c r="E15" t="inlineStr">
        <is>
          <t>02/2027</t>
        </is>
      </c>
      <c r="F15" t="n">
        <v>3280</v>
      </c>
      <c r="G15" t="n">
        <v>240</v>
      </c>
      <c r="H15" t="n">
        <v>3</v>
      </c>
      <c r="I15">
        <f>G15*H15</f>
        <v/>
      </c>
    </row>
    <row r="16">
      <c r="A16" t="n">
        <v>9</v>
      </c>
      <c r="B16" t="inlineStr">
        <is>
          <t>MULTITEC CAP</t>
        </is>
      </c>
      <c r="C16" t="inlineStr">
        <is>
          <t>PEELI:20*10</t>
        </is>
      </c>
      <c r="D16" t="inlineStr">
        <is>
          <t>ALD-2585</t>
        </is>
      </c>
      <c r="E16" t="inlineStr">
        <is>
          <t>10/2026</t>
        </is>
      </c>
      <c r="F16" t="n">
        <v>3600</v>
      </c>
      <c r="G16" t="n">
        <v>190</v>
      </c>
      <c r="H16" t="n">
        <v>5</v>
      </c>
      <c r="I16">
        <f>G16*H16</f>
        <v/>
      </c>
    </row>
    <row r="17">
      <c r="A17" t="n">
        <v>10</v>
      </c>
      <c r="B17" t="inlineStr">
        <is>
          <t>RAJET LSR CAP</t>
        </is>
      </c>
      <c r="C17" t="inlineStr">
        <is>
          <t>NUEL:20*10</t>
        </is>
      </c>
      <c r="D17" t="inlineStr">
        <is>
          <t>WHC2519</t>
        </is>
      </c>
      <c r="E17" t="inlineStr">
        <is>
          <t>08/2026</t>
        </is>
      </c>
      <c r="F17" t="n">
        <v>198</v>
      </c>
      <c r="G17" t="n">
        <v>20</v>
      </c>
      <c r="H17" t="n">
        <v>100</v>
      </c>
      <c r="I17">
        <f>G17*H17</f>
        <v/>
      </c>
    </row>
    <row r="18">
      <c r="A18" t="n">
        <v>11</v>
      </c>
      <c r="B18" t="inlineStr">
        <is>
          <t>CALBERT K27 CAP</t>
        </is>
      </c>
      <c r="C18" t="inlineStr">
        <is>
          <t>ALBER:10*10</t>
        </is>
      </c>
      <c r="D18" t="inlineStr">
        <is>
          <t>VHD2506</t>
        </is>
      </c>
      <c r="E18" t="inlineStr">
        <is>
          <t>05/2027</t>
        </is>
      </c>
      <c r="F18" t="n">
        <v>2695</v>
      </c>
      <c r="G18" t="n">
        <v>325</v>
      </c>
      <c r="H18" t="n">
        <v>3</v>
      </c>
      <c r="I18">
        <f>G18*H18</f>
        <v/>
      </c>
    </row>
    <row r="19">
      <c r="A19" t="n">
        <v>12</v>
      </c>
      <c r="B19" t="inlineStr">
        <is>
          <t>PREGOUT-K1T</t>
        </is>
      </c>
      <c r="C19" t="inlineStr">
        <is>
          <t>MANKI:10*5</t>
        </is>
      </c>
      <c r="D19" t="inlineStr">
        <is>
          <t>AAA2581</t>
        </is>
      </c>
      <c r="E19" t="inlineStr">
        <is>
          <t>11/2026</t>
        </is>
      </c>
      <c r="F19" t="n">
        <v>4831</v>
      </c>
      <c r="G19" t="n">
        <v>410</v>
      </c>
      <c r="H19" t="n">
        <v>3</v>
      </c>
      <c r="I19">
        <f>G19*H19</f>
        <v/>
      </c>
    </row>
    <row r="20">
      <c r="A20" t="n">
        <v>13</v>
      </c>
      <c r="B20" t="inlineStr">
        <is>
          <t>DEXALIFE INJ 30ML</t>
        </is>
      </c>
      <c r="C20" t="inlineStr">
        <is>
          <t>SUNLI:30ML</t>
        </is>
      </c>
      <c r="D20" t="inlineStr">
        <is>
          <t>HLI2593</t>
        </is>
      </c>
      <c r="E20" t="inlineStr">
        <is>
          <t>04/2026</t>
        </is>
      </c>
      <c r="F20" t="n">
        <v>85</v>
      </c>
      <c r="G20" t="n">
        <v>15.75</v>
      </c>
      <c r="H20" t="n">
        <v>20</v>
      </c>
      <c r="I20">
        <f>G20*H20</f>
        <v/>
      </c>
    </row>
    <row r="21">
      <c r="A21" t="n">
        <v>14</v>
      </c>
      <c r="B21" t="inlineStr">
        <is>
          <t>GENTALIFE 30ML</t>
        </is>
      </c>
      <c r="C21" t="inlineStr">
        <is>
          <t>SUNLI:300*30</t>
        </is>
      </c>
      <c r="D21" t="inlineStr">
        <is>
          <t>HLI2514</t>
        </is>
      </c>
      <c r="E21" t="inlineStr">
        <is>
          <t>12/2027</t>
        </is>
      </c>
      <c r="F21" t="n">
        <v>72</v>
      </c>
      <c r="G21" t="n">
        <v>17.5</v>
      </c>
      <c r="H21" t="n">
        <v>10</v>
      </c>
      <c r="I21">
        <f>G21*H21</f>
        <v/>
      </c>
    </row>
    <row r="22">
      <c r="A22" t="n">
        <v>15</v>
      </c>
      <c r="B22" t="inlineStr">
        <is>
          <t>MOXIB EYE DROP</t>
        </is>
      </c>
      <c r="C22" t="inlineStr">
        <is>
          <t>MAY:10ML*2</t>
        </is>
      </c>
      <c r="D22" t="inlineStr">
        <is>
          <t>MO25H31</t>
        </is>
      </c>
      <c r="E22" t="inlineStr">
        <is>
          <t>07/2026</t>
        </is>
      </c>
      <c r="F22" t="n">
        <v>90</v>
      </c>
      <c r="G22" t="n">
        <v>11</v>
      </c>
      <c r="H22" t="n">
        <v>25</v>
      </c>
      <c r="I22">
        <f>G22*H22</f>
        <v/>
      </c>
    </row>
    <row r="23">
      <c r="A23" t="n">
        <v>16</v>
      </c>
      <c r="B23" t="inlineStr">
        <is>
          <t>MOXIB D EYE DROP</t>
        </is>
      </c>
      <c r="C23" t="inlineStr">
        <is>
          <t>MAY:10ML*2</t>
        </is>
      </c>
      <c r="D23" t="inlineStr">
        <is>
          <t>MO25H36</t>
        </is>
      </c>
      <c r="E23" t="inlineStr">
        <is>
          <t>07/2027</t>
        </is>
      </c>
      <c r="F23" t="n">
        <v>110</v>
      </c>
      <c r="G23" t="n">
        <v>12</v>
      </c>
      <c r="H23" t="n">
        <v>25</v>
      </c>
      <c r="I23">
        <f>G23*H23</f>
        <v/>
      </c>
    </row>
    <row r="24">
      <c r="A24" t="n">
        <v>17</v>
      </c>
      <c r="B24" t="inlineStr">
        <is>
          <t>MONTAS L TAB 30*10</t>
        </is>
      </c>
      <c r="C24" t="inlineStr">
        <is>
          <t>INTAS:30*10</t>
        </is>
      </c>
      <c r="D24" t="inlineStr">
        <is>
          <t>K250177</t>
        </is>
      </c>
      <c r="E24" t="inlineStr">
        <is>
          <t>08/2026</t>
        </is>
      </c>
      <c r="F24" t="n">
        <v>5340</v>
      </c>
      <c r="G24" t="n">
        <v>540</v>
      </c>
      <c r="H24" t="n">
        <v>1</v>
      </c>
      <c r="I24">
        <f>G24*H24</f>
        <v/>
      </c>
    </row>
    <row r="25">
      <c r="A25" t="n">
        <v>18</v>
      </c>
      <c r="B25" t="inlineStr">
        <is>
          <t>MONTAS-FX TAB</t>
        </is>
      </c>
      <c r="C25" t="inlineStr">
        <is>
          <t>INTAS:20*10</t>
        </is>
      </c>
      <c r="D25" t="inlineStr">
        <is>
          <t>DI25353</t>
        </is>
      </c>
      <c r="E25" t="inlineStr">
        <is>
          <t>09/2027</t>
        </is>
      </c>
      <c r="F25" t="n">
        <v>210</v>
      </c>
      <c r="G25" t="n">
        <v>34</v>
      </c>
      <c r="H25" t="n">
        <v>40</v>
      </c>
      <c r="I25">
        <f>G25*H25</f>
        <v/>
      </c>
    </row>
    <row r="26">
      <c r="A26" t="n">
        <v>19</v>
      </c>
      <c r="B26" t="inlineStr">
        <is>
          <t>LYCOZEN CAP</t>
        </is>
      </c>
      <c r="C26" t="inlineStr">
        <is>
          <t>MEDLE:20*10</t>
        </is>
      </c>
      <c r="D26" t="inlineStr">
        <is>
          <t>DPT-2504</t>
        </is>
      </c>
      <c r="E26" t="inlineStr">
        <is>
          <t>06/2026</t>
        </is>
      </c>
      <c r="F26" t="n">
        <v>3258</v>
      </c>
      <c r="G26" t="n">
        <v>275</v>
      </c>
      <c r="H26" t="n">
        <v>3</v>
      </c>
      <c r="I26">
        <f>G26*H26</f>
        <v/>
      </c>
    </row>
    <row r="27">
      <c r="A27" t="n">
        <v>20</v>
      </c>
      <c r="B27" t="inlineStr">
        <is>
          <t>RABITEC DSR</t>
        </is>
      </c>
      <c r="C27" t="inlineStr">
        <is>
          <t>CIPLA:100</t>
        </is>
      </c>
      <c r="D27" t="inlineStr">
        <is>
          <t>GL25993</t>
        </is>
      </c>
      <c r="E27" t="inlineStr">
        <is>
          <t>11/2026</t>
        </is>
      </c>
      <c r="F27" t="n">
        <v>2928.2</v>
      </c>
      <c r="G27" t="n">
        <v>25.5</v>
      </c>
      <c r="H27" t="n">
        <v>100</v>
      </c>
      <c r="I27">
        <f>G27*H27</f>
        <v/>
      </c>
    </row>
    <row r="28">
      <c r="A28" t="n">
        <v>21</v>
      </c>
      <c r="B28" t="inlineStr">
        <is>
          <t>PANEZ DSR CAP</t>
        </is>
      </c>
      <c r="C28" t="inlineStr">
        <is>
          <t>NDEL:20*10</t>
        </is>
      </c>
      <c r="D28" t="inlineStr">
        <is>
          <t>WHC2509</t>
        </is>
      </c>
      <c r="E28" t="inlineStr">
        <is>
          <t>08/2027</t>
        </is>
      </c>
      <c r="F28" t="n">
        <v>195</v>
      </c>
      <c r="G28" t="n">
        <v>11</v>
      </c>
      <c r="H28" t="n">
        <v>40</v>
      </c>
      <c r="I28">
        <f>G28*H28</f>
        <v/>
      </c>
    </row>
    <row r="29">
      <c r="A29" t="n">
        <v>22</v>
      </c>
      <c r="B29" t="inlineStr">
        <is>
          <t>DECA-INTABOLIN 50MG</t>
        </is>
      </c>
      <c r="C29" t="inlineStr">
        <is>
          <t>INTAS:1</t>
        </is>
      </c>
      <c r="D29" t="inlineStr">
        <is>
          <t>DEL25C15</t>
        </is>
      </c>
      <c r="E29" t="inlineStr">
        <is>
          <t>06/2026</t>
        </is>
      </c>
      <c r="F29" t="n">
        <v>406</v>
      </c>
      <c r="G29" t="n">
        <v>13.25</v>
      </c>
      <c r="H29" t="n">
        <v>30</v>
      </c>
      <c r="I29">
        <f>G29*H29</f>
        <v/>
      </c>
    </row>
    <row r="30">
      <c r="A30" t="n">
        <v>23</v>
      </c>
      <c r="B30" t="inlineStr">
        <is>
          <t>DECA-INTABOLIN-25</t>
        </is>
      </c>
      <c r="C30" t="inlineStr">
        <is>
          <t>INTAS:1</t>
        </is>
      </c>
      <c r="D30" t="inlineStr">
        <is>
          <t>DF25C08</t>
        </is>
      </c>
      <c r="E30" t="inlineStr">
        <is>
          <t>04/2027</t>
        </is>
      </c>
      <c r="F30" t="n">
        <v>281</v>
      </c>
      <c r="G30" t="n">
        <v>12.2</v>
      </c>
      <c r="H30" t="n">
        <v>10</v>
      </c>
      <c r="I30">
        <f>G30*H30</f>
        <v/>
      </c>
    </row>
    <row r="31">
      <c r="A31" t="n">
        <v>24</v>
      </c>
      <c r="B31" t="inlineStr">
        <is>
          <t>CEROXITUM CV 10*10 TAB</t>
        </is>
      </c>
      <c r="C31" t="inlineStr">
        <is>
          <t>INTAS:10*10</t>
        </is>
      </c>
      <c r="D31" t="inlineStr">
        <is>
          <t>CT-2528A</t>
        </is>
      </c>
      <c r="E31" t="inlineStr">
        <is>
          <t>03/2026</t>
        </is>
      </c>
      <c r="F31" t="n">
        <v>753.33</v>
      </c>
      <c r="G31" t="n">
        <v>230</v>
      </c>
      <c r="H31" t="n">
        <v>30</v>
      </c>
      <c r="I31">
        <f>G31*H31</f>
        <v/>
      </c>
    </row>
    <row r="32">
      <c r="A32" t="n">
        <v>25</v>
      </c>
      <c r="B32" t="inlineStr">
        <is>
          <t>ALBEMETH PLUS CAP</t>
        </is>
      </c>
      <c r="C32" t="inlineStr">
        <is>
          <t>ALBER:10</t>
        </is>
      </c>
      <c r="D32" t="inlineStr">
        <is>
          <t>DE25021</t>
        </is>
      </c>
      <c r="E32" t="inlineStr">
        <is>
          <t>09/2026</t>
        </is>
      </c>
      <c r="F32" t="n">
        <v>259</v>
      </c>
      <c r="G32" t="n">
        <v>41</v>
      </c>
      <c r="H32" t="n">
        <v>30</v>
      </c>
      <c r="I32">
        <f>G32*H32</f>
        <v/>
      </c>
    </row>
    <row r="33">
      <c r="A33" t="n">
        <v>26</v>
      </c>
      <c r="B33" t="inlineStr">
        <is>
          <t>SIOFLOX CX TAB</t>
        </is>
      </c>
      <c r="C33" t="inlineStr">
        <is>
          <t>ALBER:10*10</t>
        </is>
      </c>
      <c r="D33" t="inlineStr">
        <is>
          <t>BT-25092</t>
        </is>
      </c>
      <c r="E33" t="inlineStr">
        <is>
          <t>08/2027</t>
        </is>
      </c>
      <c r="F33" t="n">
        <v>1832</v>
      </c>
      <c r="G33" t="n">
        <v>555</v>
      </c>
      <c r="H33" t="n">
        <v>5</v>
      </c>
      <c r="I33">
        <f>G33*H33</f>
        <v/>
      </c>
    </row>
    <row r="34">
      <c r="A34" t="n">
        <v>27</v>
      </c>
      <c r="B34" t="inlineStr">
        <is>
          <t>DAVIBACTUM 1 GM VAIL</t>
        </is>
      </c>
      <c r="C34" t="inlineStr">
        <is>
          <t>ALBER:VAIL</t>
        </is>
      </c>
      <c r="D34" t="inlineStr">
        <is>
          <t>BI25201</t>
        </is>
      </c>
      <c r="E34" t="inlineStr">
        <is>
          <t>02/2026</t>
        </is>
      </c>
      <c r="F34" t="n">
        <v>332.75</v>
      </c>
      <c r="G34" t="n">
        <v>15</v>
      </c>
      <c r="H34" t="n">
        <v>60</v>
      </c>
      <c r="I34">
        <f>G34*H34</f>
        <v/>
      </c>
    </row>
    <row r="35">
      <c r="A35" t="n">
        <v>28</v>
      </c>
      <c r="B35" t="inlineStr">
        <is>
          <t>RABALKEM CAP DSR 20*10</t>
        </is>
      </c>
      <c r="C35" t="inlineStr">
        <is>
          <t>ALKEM:200</t>
        </is>
      </c>
      <c r="D35" t="inlineStr">
        <is>
          <t>RRK2501</t>
        </is>
      </c>
      <c r="E35" t="inlineStr">
        <is>
          <t>03/2027</t>
        </is>
      </c>
      <c r="F35" t="n">
        <v>2740</v>
      </c>
      <c r="G35" t="n">
        <v>320</v>
      </c>
      <c r="H35" t="n">
        <v>3</v>
      </c>
      <c r="I35">
        <f>G35*H35</f>
        <v/>
      </c>
    </row>
    <row r="36">
      <c r="A36" t="n">
        <v>29</v>
      </c>
      <c r="B36" t="inlineStr">
        <is>
          <t>AB PEPTIN DROP 15ML</t>
        </is>
      </c>
      <c r="C36" t="inlineStr">
        <is>
          <t>MAYB:36*15M</t>
        </is>
      </c>
      <c r="D36" t="inlineStr">
        <is>
          <t>L3H2516</t>
        </is>
      </c>
      <c r="E36" t="inlineStr">
        <is>
          <t>01/2026</t>
        </is>
      </c>
      <c r="F36" t="n">
        <v>71</v>
      </c>
      <c r="G36" t="n">
        <v>13.5</v>
      </c>
      <c r="H36" t="n">
        <v>36</v>
      </c>
      <c r="I36">
        <f>G36*H36</f>
        <v/>
      </c>
    </row>
    <row r="37">
      <c r="A37" t="n">
        <v>30</v>
      </c>
      <c r="B37" t="inlineStr">
        <is>
          <t>INTAPEPTIN 60ML</t>
        </is>
      </c>
      <c r="C37" t="inlineStr">
        <is>
          <t>INTAS:60ML</t>
        </is>
      </c>
      <c r="D37" t="inlineStr">
        <is>
          <t>L3H2501</t>
        </is>
      </c>
      <c r="E37" t="inlineStr">
        <is>
          <t>01/2026</t>
        </is>
      </c>
      <c r="F37" t="n">
        <v>105</v>
      </c>
      <c r="G37" t="n">
        <v>16.75</v>
      </c>
      <c r="H37" t="n">
        <v>20</v>
      </c>
      <c r="I37">
        <f>G37*H37</f>
        <v/>
      </c>
    </row>
    <row r="38">
      <c r="A38" t="n">
        <v>31</v>
      </c>
      <c r="B38" t="inlineStr">
        <is>
          <t>MONTINOR LC SYP 60 ML</t>
        </is>
      </c>
      <c r="C38" t="inlineStr">
        <is>
          <t>ALBER:1</t>
        </is>
      </c>
      <c r="D38" t="inlineStr">
        <is>
          <t>S-250615</t>
        </is>
      </c>
      <c r="E38" t="inlineStr">
        <is>
          <t>05/2027</t>
        </is>
      </c>
      <c r="F38" t="n">
        <v>245</v>
      </c>
      <c r="G38" t="n">
        <v>22</v>
      </c>
      <c r="H38" t="n">
        <v>20</v>
      </c>
      <c r="I38">
        <f>G38*H38</f>
        <v/>
      </c>
    </row>
    <row r="39">
      <c r="A39" t="n">
        <v>32</v>
      </c>
      <c r="B39" t="inlineStr">
        <is>
          <t>SKINSHINE OIN</t>
        </is>
      </c>
      <c r="C39" t="inlineStr">
        <is>
          <t>CADIL:1*30</t>
        </is>
      </c>
      <c r="D39" t="inlineStr">
        <is>
          <t>EZ25339</t>
        </is>
      </c>
      <c r="E39" t="inlineStr">
        <is>
          <t>04/2026</t>
        </is>
      </c>
      <c r="F39" t="n">
        <v>149.9</v>
      </c>
      <c r="G39" t="n">
        <v>33.75</v>
      </c>
      <c r="H39" t="n">
        <v>30</v>
      </c>
      <c r="I39">
        <f>G39*H39</f>
        <v/>
      </c>
    </row>
    <row r="40">
      <c r="A40" t="n">
        <v>33</v>
      </c>
      <c r="B40" t="inlineStr">
        <is>
          <t>CHYAWANPRASH 1KG</t>
        </is>
      </c>
      <c r="C40" t="inlineStr">
        <is>
          <t>RANBA:1KG</t>
        </is>
      </c>
      <c r="D40" t="inlineStr">
        <is>
          <t>NBZ2500</t>
        </is>
      </c>
      <c r="E40" t="inlineStr">
        <is>
          <t>07/2027</t>
        </is>
      </c>
      <c r="F40" t="n">
        <v>370</v>
      </c>
      <c r="G40" t="n">
        <v>170</v>
      </c>
      <c r="H40" t="n">
        <v>5</v>
      </c>
      <c r="I40">
        <f>G40*H40</f>
        <v/>
      </c>
    </row>
    <row r="41">
      <c r="A41" t="n">
        <v>34</v>
      </c>
      <c r="B41" t="inlineStr">
        <is>
          <t>CHYAWANPRASH 500 GM</t>
        </is>
      </c>
      <c r="C41" t="inlineStr">
        <is>
          <t>RANBA:500GM</t>
        </is>
      </c>
      <c r="D41" t="inlineStr">
        <is>
          <t>NGY2500</t>
        </is>
      </c>
      <c r="E41" t="inlineStr">
        <is>
          <t>09/2026</t>
        </is>
      </c>
      <c r="F41" t="n">
        <v>210</v>
      </c>
      <c r="G41" t="n">
        <v>105</v>
      </c>
      <c r="H41" t="n">
        <v>5</v>
      </c>
      <c r="I41">
        <f>G41*H41</f>
        <v/>
      </c>
    </row>
    <row r="42">
      <c r="A42" t="n">
        <v>35</v>
      </c>
      <c r="B42" t="inlineStr">
        <is>
          <t>DOLO PAIN SPRAY</t>
        </is>
      </c>
      <c r="C42" t="inlineStr">
        <is>
          <t>MICRO:55GM</t>
        </is>
      </c>
      <c r="D42" t="inlineStr">
        <is>
          <t>MDP2520</t>
        </is>
      </c>
      <c r="E42" t="inlineStr">
        <is>
          <t>08/2027</t>
        </is>
      </c>
      <c r="F42" t="n">
        <v>131.8</v>
      </c>
      <c r="G42" t="n">
        <v>77</v>
      </c>
      <c r="H42" t="n">
        <v>24</v>
      </c>
      <c r="I42">
        <f>G42*H42</f>
        <v/>
      </c>
    </row>
    <row r="43">
      <c r="A43" t="n">
        <v>36</v>
      </c>
      <c r="B43" t="inlineStr">
        <is>
          <t>ALBOZOLID TAB 600MG</t>
        </is>
      </c>
      <c r="C43" t="inlineStr">
        <is>
          <t>ALBER:10*10</t>
        </is>
      </c>
      <c r="D43" t="inlineStr">
        <is>
          <t>T-250606</t>
        </is>
      </c>
      <c r="E43" t="inlineStr">
        <is>
          <t>05/2026</t>
        </is>
      </c>
      <c r="F43" t="n">
        <v>370.94</v>
      </c>
      <c r="G43" t="n">
        <v>105</v>
      </c>
      <c r="H43" t="n">
        <v>20</v>
      </c>
      <c r="I43">
        <f>G43*H43</f>
        <v/>
      </c>
    </row>
    <row r="44">
      <c r="A44" t="n">
        <v>37</v>
      </c>
      <c r="B44" t="inlineStr">
        <is>
          <t>CALBERT D3 60K CAP</t>
        </is>
      </c>
      <c r="C44" t="inlineStr">
        <is>
          <t>ALBER:1*4</t>
        </is>
      </c>
      <c r="D44" t="inlineStr">
        <is>
          <t>VHD2506</t>
        </is>
      </c>
      <c r="E44" t="inlineStr">
        <is>
          <t>05/2027</t>
        </is>
      </c>
      <c r="F44" t="n">
        <v>137.84</v>
      </c>
      <c r="G44" t="n">
        <v>18.5</v>
      </c>
      <c r="H44" t="n">
        <v>20</v>
      </c>
      <c r="I44">
        <f>G44*H44</f>
        <v/>
      </c>
    </row>
    <row r="45">
      <c r="A45" t="n">
        <v>38</v>
      </c>
      <c r="B45" t="inlineStr">
        <is>
          <t>CHYMOTAS FORTE TAB</t>
        </is>
      </c>
      <c r="C45" t="inlineStr">
        <is>
          <t>INTAS:10*20</t>
        </is>
      </c>
      <c r="D45" t="inlineStr">
        <is>
          <t>23S25TB6</t>
        </is>
      </c>
      <c r="E45" t="inlineStr">
        <is>
          <t>05/2026</t>
        </is>
      </c>
      <c r="F45" t="n">
        <v>4320</v>
      </c>
      <c r="G45" t="n">
        <v>440</v>
      </c>
      <c r="H45" t="n">
        <v>2</v>
      </c>
      <c r="I45">
        <f>G45*H45</f>
        <v/>
      </c>
    </row>
    <row r="46">
      <c r="A46" t="n">
        <v>39</v>
      </c>
      <c r="B46" t="inlineStr">
        <is>
          <t>PANTOBERT 40 TAB</t>
        </is>
      </c>
      <c r="C46" t="inlineStr">
        <is>
          <t>ALBER:20*10</t>
        </is>
      </c>
      <c r="D46" t="inlineStr">
        <is>
          <t>DD25221</t>
        </is>
      </c>
      <c r="E46" t="inlineStr">
        <is>
          <t>11/2026</t>
        </is>
      </c>
      <c r="F46" t="n">
        <v>2300</v>
      </c>
      <c r="G46" t="n">
        <v>210</v>
      </c>
      <c r="H46" t="n">
        <v>1</v>
      </c>
      <c r="I46">
        <f>G46*H46</f>
        <v/>
      </c>
    </row>
    <row r="47">
      <c r="A47" t="n">
        <v>40</v>
      </c>
      <c r="B47" t="inlineStr">
        <is>
          <t>PANTOBERT D TAB</t>
        </is>
      </c>
      <c r="C47" t="inlineStr">
        <is>
          <t>ALBER:20*10</t>
        </is>
      </c>
      <c r="D47" t="inlineStr">
        <is>
          <t>230725A</t>
        </is>
      </c>
      <c r="E47" t="inlineStr">
        <is>
          <t>06/2027</t>
        </is>
      </c>
      <c r="F47" t="n">
        <v>175.65</v>
      </c>
      <c r="G47" t="n">
        <v>235</v>
      </c>
      <c r="H47" t="n">
        <v>2</v>
      </c>
      <c r="I47">
        <f>G47*H47</f>
        <v/>
      </c>
    </row>
    <row r="48">
      <c r="A48" t="n">
        <v>41</v>
      </c>
      <c r="B48" t="inlineStr">
        <is>
          <t>MOXABERT CV TAB 625MG</t>
        </is>
      </c>
      <c r="C48" t="inlineStr">
        <is>
          <t>ALBER:20*10</t>
        </is>
      </c>
      <c r="D48" t="inlineStr">
        <is>
          <t>MB256AA</t>
        </is>
      </c>
      <c r="E48" t="inlineStr">
        <is>
          <t>05/2026</t>
        </is>
      </c>
      <c r="F48" t="n">
        <v>201.66</v>
      </c>
      <c r="G48" t="n">
        <v>68</v>
      </c>
      <c r="H48" t="n">
        <v>80</v>
      </c>
      <c r="I48">
        <f>G48*H48</f>
        <v/>
      </c>
    </row>
    <row r="49">
      <c r="A49" t="n">
        <v>42</v>
      </c>
      <c r="B49" t="inlineStr">
        <is>
          <t>MAHANAC S TAB</t>
        </is>
      </c>
      <c r="C49" t="inlineStr">
        <is>
          <t>ZEVEN:20*10</t>
        </is>
      </c>
      <c r="D49" t="inlineStr">
        <is>
          <t>SCZ2503</t>
        </is>
      </c>
      <c r="E49" t="inlineStr">
        <is>
          <t>06/2027</t>
        </is>
      </c>
      <c r="F49" t="n">
        <v>147.9</v>
      </c>
      <c r="G49" t="n">
        <v>330</v>
      </c>
      <c r="H49" t="n">
        <v>2</v>
      </c>
      <c r="I49">
        <f>G49*H49</f>
        <v/>
      </c>
    </row>
    <row r="50">
      <c r="A50" t="n">
        <v>43</v>
      </c>
      <c r="B50" t="inlineStr">
        <is>
          <t>METHARGO TAB</t>
        </is>
      </c>
      <c r="C50" t="inlineStr">
        <is>
          <t>MANKI:10</t>
        </is>
      </c>
      <c r="D50" t="inlineStr">
        <is>
          <t>PAD25CD</t>
        </is>
      </c>
      <c r="E50" t="inlineStr">
        <is>
          <t>12/2026</t>
        </is>
      </c>
      <c r="F50" t="n">
        <v>2929.8</v>
      </c>
      <c r="G50" t="n">
        <v>405</v>
      </c>
      <c r="H50" t="n">
        <v>2</v>
      </c>
      <c r="I50">
        <f>G50*H50</f>
        <v/>
      </c>
    </row>
    <row r="51">
      <c r="A51" t="n">
        <v>44</v>
      </c>
      <c r="B51" t="inlineStr">
        <is>
          <t>PROTISUN POWDER CHOCOLATE</t>
        </is>
      </c>
      <c r="C51" t="inlineStr">
        <is>
          <t>SUNLI:200GM</t>
        </is>
      </c>
      <c r="D51" t="inlineStr">
        <is>
          <t>AP-25313</t>
        </is>
      </c>
      <c r="E51" t="inlineStr">
        <is>
          <t>11/2026</t>
        </is>
      </c>
      <c r="F51" t="n">
        <v>405</v>
      </c>
      <c r="G51" t="n">
        <v>36</v>
      </c>
      <c r="H51" t="n">
        <v>50</v>
      </c>
      <c r="I51">
        <f>G51*H51</f>
        <v/>
      </c>
    </row>
    <row r="52">
      <c r="H52" t="inlineStr">
        <is>
          <t>Sub Total</t>
        </is>
      </c>
      <c r="I52">
        <f>SUM(I8:I51)</f>
        <v/>
      </c>
    </row>
    <row r="53">
      <c r="H53" t="inlineStr">
        <is>
          <t>CGST (6%)</t>
        </is>
      </c>
      <c r="I53">
        <f>I52*0.06</f>
        <v/>
      </c>
    </row>
    <row r="54">
      <c r="H54" t="inlineStr">
        <is>
          <t>SGST (6%)</t>
        </is>
      </c>
      <c r="I54">
        <f>I52*0.06</f>
        <v/>
      </c>
    </row>
    <row r="55">
      <c r="H55" t="inlineStr">
        <is>
          <t>GRAND TOTAL</t>
        </is>
      </c>
      <c r="I55">
        <f>SUM(I52:I54)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Inventory &amp; Sales Register (Jan 2026)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Price (₹)</t>
        </is>
      </c>
      <c r="F3" s="2" t="inlineStr">
        <is>
          <t>Opening Stock</t>
        </is>
      </c>
      <c r="G3" s="2" t="inlineStr">
        <is>
          <t>Purchase Qty</t>
        </is>
      </c>
      <c r="H3" s="2" t="inlineStr">
        <is>
          <t>Sales Qty</t>
        </is>
      </c>
      <c r="I3" s="2" t="inlineStr">
        <is>
          <t>Closing Stock</t>
        </is>
      </c>
      <c r="J3" s="2" t="inlineStr">
        <is>
          <t>Total Sales Revenue (₹)</t>
        </is>
      </c>
      <c r="K3" s="2" t="inlineStr">
        <is>
          <t>Expiry Date</t>
        </is>
      </c>
    </row>
    <row r="4">
      <c r="A4" s="3" t="n">
        <v>1</v>
      </c>
      <c r="B4" s="4" t="inlineStr">
        <is>
          <t>Rabitec DSR Cap</t>
        </is>
      </c>
      <c r="C4" s="4" t="inlineStr">
        <is>
          <t>Gastric Care</t>
        </is>
      </c>
      <c r="D4" s="5" t="n">
        <v>185</v>
      </c>
      <c r="E4" s="5" t="n">
        <v>130</v>
      </c>
      <c r="F4" s="3" t="n">
        <v>49</v>
      </c>
      <c r="G4" s="3" t="n">
        <v>78</v>
      </c>
      <c r="H4" s="3" t="n">
        <v>52</v>
      </c>
      <c r="I4" s="3" t="n">
        <v>75</v>
      </c>
      <c r="J4" s="5" t="n">
        <v>9620</v>
      </c>
      <c r="K4" s="4" t="inlineStr">
        <is>
          <t>08/2026</t>
        </is>
      </c>
    </row>
    <row r="5">
      <c r="A5" s="3" t="n">
        <v>2</v>
      </c>
      <c r="B5" s="4" t="inlineStr">
        <is>
          <t>Montas L Tab (10s)</t>
        </is>
      </c>
      <c r="C5" s="4" t="inlineStr">
        <is>
          <t>Respiratory / Cold</t>
        </is>
      </c>
      <c r="D5" s="5" t="n">
        <v>165</v>
      </c>
      <c r="E5" s="5" t="n">
        <v>115</v>
      </c>
      <c r="F5" s="3" t="n">
        <v>70</v>
      </c>
      <c r="G5" s="3" t="n">
        <v>49</v>
      </c>
      <c r="H5" s="3" t="n">
        <v>73</v>
      </c>
      <c r="I5" s="3" t="n">
        <v>46</v>
      </c>
      <c r="J5" s="5" t="n">
        <v>12045</v>
      </c>
      <c r="K5" s="4" t="inlineStr">
        <is>
          <t>05/2026</t>
        </is>
      </c>
    </row>
    <row r="6">
      <c r="A6" s="3" t="n">
        <v>3</v>
      </c>
      <c r="B6" s="4" t="inlineStr">
        <is>
          <t>Calbert K27 Cap</t>
        </is>
      </c>
      <c r="C6" s="4" t="inlineStr">
        <is>
          <t>Calcium / Supplement</t>
        </is>
      </c>
      <c r="D6" s="5" t="n">
        <v>247</v>
      </c>
      <c r="E6" s="5" t="n">
        <v>175</v>
      </c>
      <c r="F6" s="3" t="n">
        <v>89</v>
      </c>
      <c r="G6" s="3" t="n">
        <v>33</v>
      </c>
      <c r="H6" s="3" t="n">
        <v>18</v>
      </c>
      <c r="I6" s="3" t="n">
        <v>104</v>
      </c>
      <c r="J6" s="5" t="n">
        <v>4446</v>
      </c>
      <c r="K6" s="4" t="inlineStr">
        <is>
          <t>03/2026</t>
        </is>
      </c>
    </row>
    <row r="7">
      <c r="A7" s="3" t="n">
        <v>4</v>
      </c>
      <c r="B7" s="4" t="inlineStr">
        <is>
          <t>Ceroxim CV 500 Tab</t>
        </is>
      </c>
      <c r="C7" s="4" t="inlineStr">
        <is>
          <t>Antibiotic</t>
        </is>
      </c>
      <c r="D7" s="5" t="n">
        <v>480</v>
      </c>
      <c r="E7" s="5" t="n">
        <v>340</v>
      </c>
      <c r="F7" s="3" t="n">
        <v>53</v>
      </c>
      <c r="G7" s="3" t="n">
        <v>78</v>
      </c>
      <c r="H7" s="3" t="n">
        <v>53</v>
      </c>
      <c r="I7" s="3" t="n">
        <v>78</v>
      </c>
      <c r="J7" s="5" t="n">
        <v>25440</v>
      </c>
      <c r="K7" s="4" t="inlineStr">
        <is>
          <t>11/2026</t>
        </is>
      </c>
    </row>
    <row r="8">
      <c r="A8" s="3" t="n">
        <v>5</v>
      </c>
      <c r="B8" s="4" t="inlineStr">
        <is>
          <t>Pantobert D Tab</t>
        </is>
      </c>
      <c r="C8" s="4" t="inlineStr">
        <is>
          <t>Gastric Care</t>
        </is>
      </c>
      <c r="D8" s="5" t="n">
        <v>140</v>
      </c>
      <c r="E8" s="5" t="n">
        <v>95</v>
      </c>
      <c r="F8" s="3" t="n">
        <v>87</v>
      </c>
      <c r="G8" s="3" t="n">
        <v>64</v>
      </c>
      <c r="H8" s="3" t="n">
        <v>33</v>
      </c>
      <c r="I8" s="3" t="n">
        <v>118</v>
      </c>
      <c r="J8" s="5" t="n">
        <v>4620</v>
      </c>
      <c r="K8" s="4" t="inlineStr">
        <is>
          <t>09/2026</t>
        </is>
      </c>
    </row>
    <row r="9">
      <c r="A9" s="3" t="n">
        <v>6</v>
      </c>
      <c r="B9" s="4" t="inlineStr">
        <is>
          <t>Moxabert CV 625 Tab</t>
        </is>
      </c>
      <c r="C9" s="4" t="inlineStr">
        <is>
          <t>Antibiotic</t>
        </is>
      </c>
      <c r="D9" s="5" t="n">
        <v>225</v>
      </c>
      <c r="E9" s="5" t="n">
        <v>160</v>
      </c>
      <c r="F9" s="3" t="n">
        <v>67</v>
      </c>
      <c r="G9" s="3" t="n">
        <v>48</v>
      </c>
      <c r="H9" s="3" t="n">
        <v>28</v>
      </c>
      <c r="I9" s="3" t="n">
        <v>87</v>
      </c>
      <c r="J9" s="5" t="n">
        <v>6300</v>
      </c>
      <c r="K9" s="4" t="inlineStr">
        <is>
          <t>10/2026</t>
        </is>
      </c>
    </row>
    <row r="10">
      <c r="A10" s="3" t="n">
        <v>7</v>
      </c>
      <c r="B10" s="4" t="inlineStr">
        <is>
          <t>Chyawanprash 2KG</t>
        </is>
      </c>
      <c r="C10" s="4" t="inlineStr">
        <is>
          <t>Ayurvedic / Immunity</t>
        </is>
      </c>
      <c r="D10" s="5" t="n">
        <v>450</v>
      </c>
      <c r="E10" s="5" t="n">
        <v>330</v>
      </c>
      <c r="F10" s="3" t="n">
        <v>57</v>
      </c>
      <c r="G10" s="3" t="n">
        <v>32</v>
      </c>
      <c r="H10" s="3" t="n">
        <v>28</v>
      </c>
      <c r="I10" s="3" t="n">
        <v>61</v>
      </c>
      <c r="J10" s="5" t="n">
        <v>12600</v>
      </c>
      <c r="K10" s="4" t="inlineStr">
        <is>
          <t>12/2026</t>
        </is>
      </c>
    </row>
    <row r="11">
      <c r="A11" s="3" t="n">
        <v>8</v>
      </c>
      <c r="B11" s="4" t="inlineStr">
        <is>
          <t>Dolo Pain Spray</t>
        </is>
      </c>
      <c r="C11" s="4" t="inlineStr">
        <is>
          <t>Pain Relief</t>
        </is>
      </c>
      <c r="D11" s="5" t="n">
        <v>195</v>
      </c>
      <c r="E11" s="5" t="n">
        <v>140</v>
      </c>
      <c r="F11" s="3" t="n">
        <v>36</v>
      </c>
      <c r="G11" s="3" t="n">
        <v>48</v>
      </c>
      <c r="H11" s="3" t="n">
        <v>25</v>
      </c>
      <c r="I11" s="3" t="n">
        <v>59</v>
      </c>
      <c r="J11" s="5" t="n">
        <v>4875</v>
      </c>
      <c r="K11" s="4" t="inlineStr">
        <is>
          <t>04/2026</t>
        </is>
      </c>
    </row>
    <row r="12">
      <c r="A12" s="3" t="n">
        <v>9</v>
      </c>
      <c r="B12" s="4" t="inlineStr">
        <is>
          <t>Abzolid 600 Tab</t>
        </is>
      </c>
      <c r="C12" s="4" t="inlineStr">
        <is>
          <t>Antibiotic</t>
        </is>
      </c>
      <c r="D12" s="5" t="n">
        <v>406</v>
      </c>
      <c r="E12" s="5" t="n">
        <v>285</v>
      </c>
      <c r="F12" s="3" t="n">
        <v>71</v>
      </c>
      <c r="G12" s="3" t="n">
        <v>32</v>
      </c>
      <c r="H12" s="3" t="n">
        <v>49</v>
      </c>
      <c r="I12" s="3" t="n">
        <v>54</v>
      </c>
      <c r="J12" s="5" t="n">
        <v>19894</v>
      </c>
      <c r="K12" s="4" t="inlineStr">
        <is>
          <t>06/2026</t>
        </is>
      </c>
    </row>
    <row r="13">
      <c r="A13" s="3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3" t="n">
        <v>66</v>
      </c>
      <c r="G13" s="3" t="n">
        <v>35</v>
      </c>
      <c r="H13" s="3" t="n">
        <v>45</v>
      </c>
      <c r="I13" s="3" t="n">
        <v>56</v>
      </c>
      <c r="J13" s="5" t="n">
        <v>8910</v>
      </c>
      <c r="K13" s="4" t="inlineStr">
        <is>
          <t>07/2026</t>
        </is>
      </c>
    </row>
    <row r="14">
      <c r="A14" s="3" t="n">
        <v>11</v>
      </c>
      <c r="B14" s="4" t="inlineStr">
        <is>
          <t>Chymotas Forte Tab</t>
        </is>
      </c>
      <c r="C14" s="4" t="inlineStr">
        <is>
          <t>Pain / Swelling</t>
        </is>
      </c>
      <c r="D14" s="5" t="n">
        <v>370</v>
      </c>
      <c r="E14" s="5" t="n">
        <v>260</v>
      </c>
      <c r="F14" s="3" t="n">
        <v>76</v>
      </c>
      <c r="G14" s="3" t="n">
        <v>47</v>
      </c>
      <c r="H14" s="3" t="n">
        <v>55</v>
      </c>
      <c r="I14" s="3" t="n">
        <v>68</v>
      </c>
      <c r="J14" s="5" t="n">
        <v>20350</v>
      </c>
      <c r="K14" s="4" t="inlineStr">
        <is>
          <t>05/2026</t>
        </is>
      </c>
    </row>
    <row r="15">
      <c r="A15" s="3" t="n">
        <v>12</v>
      </c>
      <c r="B15" s="4" t="inlineStr">
        <is>
          <t>Skinshine Ointment 30g</t>
        </is>
      </c>
      <c r="C15" s="4" t="inlineStr">
        <is>
          <t>Dermatology</t>
        </is>
      </c>
      <c r="D15" s="5" t="n">
        <v>149</v>
      </c>
      <c r="E15" s="5" t="n">
        <v>105</v>
      </c>
      <c r="F15" s="3" t="n">
        <v>33</v>
      </c>
      <c r="G15" s="3" t="n">
        <v>47</v>
      </c>
      <c r="H15" s="3" t="n">
        <v>28</v>
      </c>
      <c r="I15" s="3" t="n">
        <v>52</v>
      </c>
      <c r="J15" s="5" t="n">
        <v>4172</v>
      </c>
      <c r="K15" s="4" t="inlineStr">
        <is>
          <t>03/2026</t>
        </is>
      </c>
    </row>
    <row r="16">
      <c r="A16" s="3" t="n">
        <v>13</v>
      </c>
      <c r="B16" s="4" t="inlineStr">
        <is>
          <t>Dexalife Inj 30ml</t>
        </is>
      </c>
      <c r="C16" s="4" t="inlineStr">
        <is>
          <t>Injectable</t>
        </is>
      </c>
      <c r="D16" s="5" t="n">
        <v>73</v>
      </c>
      <c r="E16" s="5" t="n">
        <v>48</v>
      </c>
      <c r="F16" s="3" t="n">
        <v>63</v>
      </c>
      <c r="G16" s="3" t="n">
        <v>33</v>
      </c>
      <c r="H16" s="3" t="n">
        <v>44</v>
      </c>
      <c r="I16" s="3" t="n">
        <v>52</v>
      </c>
      <c r="J16" s="5" t="n">
        <v>3212</v>
      </c>
      <c r="K16" s="4" t="inlineStr">
        <is>
          <t>04/2026</t>
        </is>
      </c>
    </row>
    <row r="17">
      <c r="A17" s="3" t="n">
        <v>14</v>
      </c>
      <c r="B17" s="4" t="inlineStr">
        <is>
          <t>Moxeb Eye Drop</t>
        </is>
      </c>
      <c r="C17" s="4" t="inlineStr">
        <is>
          <t>Eye Care</t>
        </is>
      </c>
      <c r="D17" s="5" t="n">
        <v>90</v>
      </c>
      <c r="E17" s="5" t="n">
        <v>62</v>
      </c>
      <c r="F17" s="3" t="n">
        <v>67</v>
      </c>
      <c r="G17" s="3" t="n">
        <v>62</v>
      </c>
      <c r="H17" s="3" t="n">
        <v>22</v>
      </c>
      <c r="I17" s="3" t="n">
        <v>107</v>
      </c>
      <c r="J17" s="5" t="n">
        <v>1980</v>
      </c>
      <c r="K17" s="4" t="inlineStr">
        <is>
          <t>07/2026</t>
        </is>
      </c>
    </row>
    <row r="18">
      <c r="A18" s="3" t="n">
        <v>15</v>
      </c>
      <c r="B18" s="4" t="inlineStr">
        <is>
          <t>Lycozen Cap</t>
        </is>
      </c>
      <c r="C18" s="4" t="inlineStr">
        <is>
          <t>Multivitamin</t>
        </is>
      </c>
      <c r="D18" s="5" t="n">
        <v>175</v>
      </c>
      <c r="E18" s="5" t="n">
        <v>120</v>
      </c>
      <c r="F18" s="3" t="n">
        <v>75</v>
      </c>
      <c r="G18" s="3" t="n">
        <v>70</v>
      </c>
      <c r="H18" s="3" t="n">
        <v>32</v>
      </c>
      <c r="I18" s="3" t="n">
        <v>113</v>
      </c>
      <c r="J18" s="5" t="n">
        <v>5600</v>
      </c>
      <c r="K18" s="4" t="inlineStr">
        <is>
          <t>01/2026</t>
        </is>
      </c>
    </row>
    <row r="19">
      <c r="A19" s="3" t="n">
        <v>16</v>
      </c>
      <c r="B19" s="4" t="inlineStr">
        <is>
          <t>Deca-Intabolin 50mg Inj</t>
        </is>
      </c>
      <c r="C19" s="4" t="inlineStr">
        <is>
          <t>Steroid / Inj</t>
        </is>
      </c>
      <c r="D19" s="5" t="n">
        <v>280</v>
      </c>
      <c r="E19" s="5" t="n">
        <v>195</v>
      </c>
      <c r="F19" s="3" t="n">
        <v>54</v>
      </c>
      <c r="G19" s="3" t="n">
        <v>47</v>
      </c>
      <c r="H19" s="3" t="n">
        <v>39</v>
      </c>
      <c r="I19" s="3" t="n">
        <v>62</v>
      </c>
      <c r="J19" s="5" t="n">
        <v>10920</v>
      </c>
      <c r="K19" s="4" t="inlineStr">
        <is>
          <t>08/2026</t>
        </is>
      </c>
    </row>
    <row r="20">
      <c r="A20" s="3" t="n">
        <v>17</v>
      </c>
      <c r="B20" s="4" t="inlineStr">
        <is>
          <t>Ketomac Shampoo 100ml</t>
        </is>
      </c>
      <c r="C20" s="4" t="inlineStr">
        <is>
          <t>Dermatology</t>
        </is>
      </c>
      <c r="D20" s="5" t="n">
        <v>220</v>
      </c>
      <c r="E20" s="5" t="n">
        <v>155</v>
      </c>
      <c r="F20" s="3" t="n">
        <v>76</v>
      </c>
      <c r="G20" s="3" t="n">
        <v>67</v>
      </c>
      <c r="H20" s="3" t="n">
        <v>19</v>
      </c>
      <c r="I20" s="3" t="n">
        <v>124</v>
      </c>
      <c r="J20" s="5" t="n">
        <v>4180</v>
      </c>
      <c r="K20" s="4" t="inlineStr">
        <is>
          <t>09/2026</t>
        </is>
      </c>
    </row>
    <row r="21">
      <c r="A21" s="3" t="n">
        <v>18</v>
      </c>
      <c r="B21" s="4" t="inlineStr">
        <is>
          <t>Clobeta GM 10g Cream</t>
        </is>
      </c>
      <c r="C21" s="4" t="inlineStr">
        <is>
          <t>Dermatology</t>
        </is>
      </c>
      <c r="D21" s="5" t="n">
        <v>85</v>
      </c>
      <c r="E21" s="5" t="n">
        <v>58</v>
      </c>
      <c r="F21" s="3" t="n">
        <v>25</v>
      </c>
      <c r="G21" s="3" t="n">
        <v>75</v>
      </c>
      <c r="H21" s="3" t="n">
        <v>41</v>
      </c>
      <c r="I21" s="3" t="n">
        <v>59</v>
      </c>
      <c r="J21" s="5" t="n">
        <v>3485</v>
      </c>
      <c r="K21" s="4" t="inlineStr">
        <is>
          <t>02/2026</t>
        </is>
      </c>
    </row>
    <row r="22">
      <c r="A22" s="3" t="n">
        <v>19</v>
      </c>
      <c r="B22" s="4" t="inlineStr">
        <is>
          <t>Montas FX Tab</t>
        </is>
      </c>
      <c r="C22" s="4" t="inlineStr">
        <is>
          <t>Respiratory / Allergy</t>
        </is>
      </c>
      <c r="D22" s="5" t="n">
        <v>210</v>
      </c>
      <c r="E22" s="5" t="n">
        <v>148</v>
      </c>
      <c r="F22" s="3" t="n">
        <v>52</v>
      </c>
      <c r="G22" s="3" t="n">
        <v>54</v>
      </c>
      <c r="H22" s="3" t="n">
        <v>44</v>
      </c>
      <c r="I22" s="3" t="n">
        <v>62</v>
      </c>
      <c r="J22" s="5" t="n">
        <v>9240</v>
      </c>
      <c r="K22" s="4" t="inlineStr">
        <is>
          <t>10/2026</t>
        </is>
      </c>
    </row>
    <row r="23">
      <c r="A23" s="3" t="n">
        <v>20</v>
      </c>
      <c r="B23" s="4" t="inlineStr">
        <is>
          <t>Intapeptin Syrup 60ml</t>
        </is>
      </c>
      <c r="C23" s="4" t="inlineStr">
        <is>
          <t>Pediatric Care</t>
        </is>
      </c>
      <c r="D23" s="5" t="n">
        <v>110</v>
      </c>
      <c r="E23" s="5" t="n">
        <v>76</v>
      </c>
      <c r="F23" s="3" t="n">
        <v>69</v>
      </c>
      <c r="G23" s="3" t="n">
        <v>70</v>
      </c>
      <c r="H23" s="3" t="n">
        <v>21</v>
      </c>
      <c r="I23" s="3" t="n">
        <v>118</v>
      </c>
      <c r="J23" s="5" t="n">
        <v>2310</v>
      </c>
      <c r="K23" s="4" t="inlineStr">
        <is>
          <t>06/2026</t>
        </is>
      </c>
    </row>
    <row r="24">
      <c r="A24" s="3" t="n">
        <v>21</v>
      </c>
      <c r="B24" s="4" t="inlineStr">
        <is>
          <t>Sicflox CX Tab</t>
        </is>
      </c>
      <c r="C24" s="4" t="inlineStr">
        <is>
          <t>Antibiotic</t>
        </is>
      </c>
      <c r="D24" s="5" t="n">
        <v>135</v>
      </c>
      <c r="E24" s="5" t="n">
        <v>92</v>
      </c>
      <c r="F24" s="3" t="n">
        <v>72</v>
      </c>
      <c r="G24" s="3" t="n">
        <v>65</v>
      </c>
      <c r="H24" s="3" t="n">
        <v>16</v>
      </c>
      <c r="I24" s="3" t="n">
        <v>121</v>
      </c>
      <c r="J24" s="5" t="n">
        <v>2160</v>
      </c>
      <c r="K24" s="4" t="inlineStr">
        <is>
          <t>05/2026</t>
        </is>
      </c>
    </row>
    <row r="25">
      <c r="A25" s="3" t="n">
        <v>22</v>
      </c>
      <c r="B25" s="4" t="inlineStr">
        <is>
          <t>Motinor LC Syrup 60ml</t>
        </is>
      </c>
      <c r="C25" s="4" t="inlineStr">
        <is>
          <t>Pediatric Care</t>
        </is>
      </c>
      <c r="D25" s="5" t="n">
        <v>95</v>
      </c>
      <c r="E25" s="5" t="n">
        <v>65</v>
      </c>
      <c r="F25" s="3" t="n">
        <v>26</v>
      </c>
      <c r="G25" s="3" t="n">
        <v>36</v>
      </c>
      <c r="H25" s="3" t="n">
        <v>38</v>
      </c>
      <c r="I25" s="3" t="n">
        <v>24</v>
      </c>
      <c r="J25" s="5" t="n">
        <v>3610</v>
      </c>
      <c r="K25" s="4" t="inlineStr">
        <is>
          <t>11/2026</t>
        </is>
      </c>
    </row>
    <row r="26">
      <c r="A26" s="3" t="n">
        <v>23</v>
      </c>
      <c r="B26" s="4" t="inlineStr">
        <is>
          <t>Itra-Albert 200mg Cap</t>
        </is>
      </c>
      <c r="C26" s="4" t="inlineStr">
        <is>
          <t>Antifungal</t>
        </is>
      </c>
      <c r="D26" s="5" t="n">
        <v>225</v>
      </c>
      <c r="E26" s="5" t="n">
        <v>160</v>
      </c>
      <c r="F26" s="3" t="n">
        <v>44</v>
      </c>
      <c r="G26" s="3" t="n">
        <v>22</v>
      </c>
      <c r="H26" s="3" t="n">
        <v>51</v>
      </c>
      <c r="I26" s="3" t="n">
        <v>15</v>
      </c>
      <c r="J26" s="5" t="n">
        <v>11475</v>
      </c>
      <c r="K26" s="4" t="inlineStr">
        <is>
          <t>04/2026</t>
        </is>
      </c>
    </row>
    <row r="27">
      <c r="A27" s="3" t="n">
        <v>24</v>
      </c>
      <c r="B27" s="4" t="inlineStr">
        <is>
          <t>Alamin Plus Cap</t>
        </is>
      </c>
      <c r="C27" s="4" t="inlineStr">
        <is>
          <t>Protein / Supplement</t>
        </is>
      </c>
      <c r="D27" s="5" t="n">
        <v>131</v>
      </c>
      <c r="E27" s="5" t="n">
        <v>90</v>
      </c>
      <c r="F27" s="3" t="n">
        <v>48</v>
      </c>
      <c r="G27" s="3" t="n">
        <v>37</v>
      </c>
      <c r="H27" s="3" t="n">
        <v>42</v>
      </c>
      <c r="I27" s="3" t="n">
        <v>43</v>
      </c>
      <c r="J27" s="5" t="n">
        <v>5502</v>
      </c>
      <c r="K27" s="4" t="inlineStr">
        <is>
          <t>01/2026</t>
        </is>
      </c>
    </row>
    <row r="28">
      <c r="A28" s="3" t="n">
        <v>25</v>
      </c>
      <c r="B28" s="4" t="inlineStr">
        <is>
          <t>Patobert 40 Tab</t>
        </is>
      </c>
      <c r="C28" s="4" t="inlineStr">
        <is>
          <t>Gastric Care</t>
        </is>
      </c>
      <c r="D28" s="5" t="n">
        <v>110</v>
      </c>
      <c r="E28" s="5" t="n">
        <v>75</v>
      </c>
      <c r="F28" s="3" t="n">
        <v>44</v>
      </c>
      <c r="G28" s="3" t="n">
        <v>45</v>
      </c>
      <c r="H28" s="3" t="n">
        <v>19</v>
      </c>
      <c r="I28" s="3" t="n">
        <v>70</v>
      </c>
      <c r="J28" s="5" t="n">
        <v>2090</v>
      </c>
      <c r="K28" s="4" t="inlineStr">
        <is>
          <t>12/2026</t>
        </is>
      </c>
    </row>
    <row r="29">
      <c r="A29" s="3" t="n">
        <v>26</v>
      </c>
      <c r="B29" s="4" t="inlineStr">
        <is>
          <t>Mahanac Tab</t>
        </is>
      </c>
      <c r="C29" s="4" t="inlineStr">
        <is>
          <t>Pain Relief</t>
        </is>
      </c>
      <c r="D29" s="5" t="n">
        <v>72</v>
      </c>
      <c r="E29" s="5" t="n">
        <v>48</v>
      </c>
      <c r="F29" s="3" t="n">
        <v>85</v>
      </c>
      <c r="G29" s="3" t="n">
        <v>30</v>
      </c>
      <c r="H29" s="3" t="n">
        <v>38</v>
      </c>
      <c r="I29" s="3" t="n">
        <v>77</v>
      </c>
      <c r="J29" s="5" t="n">
        <v>2736</v>
      </c>
      <c r="K29" s="4" t="inlineStr">
        <is>
          <t>08/2026</t>
        </is>
      </c>
    </row>
    <row r="30">
      <c r="A30" s="3" t="n">
        <v>27</v>
      </c>
      <c r="B30" s="4" t="inlineStr">
        <is>
          <t>Rabalkem DSR Cap</t>
        </is>
      </c>
      <c r="C30" s="4" t="inlineStr">
        <is>
          <t>Gastric Care</t>
        </is>
      </c>
      <c r="D30" s="5" t="n">
        <v>183</v>
      </c>
      <c r="E30" s="5" t="n">
        <v>128</v>
      </c>
      <c r="F30" s="3" t="n">
        <v>90</v>
      </c>
      <c r="G30" s="3" t="n">
        <v>39</v>
      </c>
      <c r="H30" s="3" t="n">
        <v>46</v>
      </c>
      <c r="I30" s="3" t="n">
        <v>83</v>
      </c>
      <c r="J30" s="5" t="n">
        <v>8418</v>
      </c>
      <c r="K30" s="4" t="inlineStr">
        <is>
          <t>08/2026</t>
        </is>
      </c>
    </row>
    <row r="31">
      <c r="A31" s="3" t="n">
        <v>28</v>
      </c>
      <c r="B31" s="4" t="inlineStr">
        <is>
          <t>Chyawanprash 500g</t>
        </is>
      </c>
      <c r="C31" s="4" t="inlineStr">
        <is>
          <t>Ayurvedic</t>
        </is>
      </c>
      <c r="D31" s="5" t="n">
        <v>210</v>
      </c>
      <c r="E31" s="5" t="n">
        <v>150</v>
      </c>
      <c r="F31" s="3" t="n">
        <v>92</v>
      </c>
      <c r="G31" s="3" t="n">
        <v>63</v>
      </c>
      <c r="H31" s="3" t="n">
        <v>39</v>
      </c>
      <c r="I31" s="3" t="n">
        <v>116</v>
      </c>
      <c r="J31" s="5" t="n">
        <v>8190</v>
      </c>
      <c r="K31" s="4" t="inlineStr">
        <is>
          <t>09/2026</t>
        </is>
      </c>
    </row>
    <row r="32">
      <c r="A32" s="3" t="n">
        <v>29</v>
      </c>
      <c r="B32" s="4" t="inlineStr">
        <is>
          <t>Gentalab 30ml Inj</t>
        </is>
      </c>
      <c r="C32" s="4" t="inlineStr">
        <is>
          <t>Injectable</t>
        </is>
      </c>
      <c r="D32" s="5" t="n">
        <v>45</v>
      </c>
      <c r="E32" s="5" t="n">
        <v>28</v>
      </c>
      <c r="F32" s="3" t="n">
        <v>35</v>
      </c>
      <c r="G32" s="3" t="n">
        <v>24</v>
      </c>
      <c r="H32" s="3" t="n">
        <v>15</v>
      </c>
      <c r="I32" s="3" t="n">
        <v>44</v>
      </c>
      <c r="J32" s="5" t="n">
        <v>675</v>
      </c>
      <c r="K32" s="4" t="inlineStr">
        <is>
          <t>03/2026</t>
        </is>
      </c>
    </row>
    <row r="33">
      <c r="A33" s="3" t="n">
        <v>30</v>
      </c>
      <c r="B33" s="4" t="inlineStr">
        <is>
          <t>Moxib D Eye Drop</t>
        </is>
      </c>
      <c r="C33" s="4" t="inlineStr">
        <is>
          <t>Eye Care</t>
        </is>
      </c>
      <c r="D33" s="5" t="n">
        <v>110</v>
      </c>
      <c r="E33" s="5" t="n">
        <v>78</v>
      </c>
      <c r="F33" s="3" t="n">
        <v>69</v>
      </c>
      <c r="G33" s="3" t="n">
        <v>54</v>
      </c>
      <c r="H33" s="3" t="n">
        <v>17</v>
      </c>
      <c r="I33" s="3" t="n">
        <v>106</v>
      </c>
      <c r="J33" s="5" t="n">
        <v>1870</v>
      </c>
      <c r="K33" s="4" t="inlineStr">
        <is>
          <t>06/2026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Inventory &amp; Sales Register (Feb 2026)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Price (₹)</t>
        </is>
      </c>
      <c r="F3" s="2" t="inlineStr">
        <is>
          <t>Opening Stock</t>
        </is>
      </c>
      <c r="G3" s="2" t="inlineStr">
        <is>
          <t>Purchase Qty</t>
        </is>
      </c>
      <c r="H3" s="2" t="inlineStr">
        <is>
          <t>Sales Qty</t>
        </is>
      </c>
      <c r="I3" s="2" t="inlineStr">
        <is>
          <t>Closing Stock</t>
        </is>
      </c>
      <c r="J3" s="2" t="inlineStr">
        <is>
          <t>Total Sales Revenue (₹)</t>
        </is>
      </c>
      <c r="K3" s="2" t="inlineStr">
        <is>
          <t>Expiry Date</t>
        </is>
      </c>
    </row>
    <row r="4">
      <c r="A4" s="3" t="n">
        <v>1</v>
      </c>
      <c r="B4" s="4" t="inlineStr">
        <is>
          <t>Rabitec DSR Cap</t>
        </is>
      </c>
      <c r="C4" s="4" t="inlineStr">
        <is>
          <t>Gastric Care</t>
        </is>
      </c>
      <c r="D4" s="5" t="n">
        <v>185</v>
      </c>
      <c r="E4" s="5" t="n">
        <v>130</v>
      </c>
      <c r="F4" s="3" t="n">
        <v>40</v>
      </c>
      <c r="G4" s="3" t="n">
        <v>63</v>
      </c>
      <c r="H4" s="3" t="n">
        <v>43</v>
      </c>
      <c r="I4" s="3" t="n">
        <v>60</v>
      </c>
      <c r="J4" s="5" t="n">
        <v>7955</v>
      </c>
      <c r="K4" s="4" t="inlineStr">
        <is>
          <t>08/2026</t>
        </is>
      </c>
    </row>
    <row r="5">
      <c r="A5" s="3" t="n">
        <v>2</v>
      </c>
      <c r="B5" s="4" t="inlineStr">
        <is>
          <t>Montas L Tab (10s)</t>
        </is>
      </c>
      <c r="C5" s="4" t="inlineStr">
        <is>
          <t>Respiratory / Cold</t>
        </is>
      </c>
      <c r="D5" s="5" t="n">
        <v>165</v>
      </c>
      <c r="E5" s="5" t="n">
        <v>115</v>
      </c>
      <c r="F5" s="3" t="n">
        <v>83</v>
      </c>
      <c r="G5" s="3" t="n">
        <v>70</v>
      </c>
      <c r="H5" s="3" t="n">
        <v>81</v>
      </c>
      <c r="I5" s="3" t="n">
        <v>72</v>
      </c>
      <c r="J5" s="5" t="n">
        <v>13365</v>
      </c>
      <c r="K5" s="4" t="inlineStr">
        <is>
          <t>05/2026</t>
        </is>
      </c>
    </row>
    <row r="6">
      <c r="A6" s="3" t="n">
        <v>3</v>
      </c>
      <c r="B6" s="4" t="inlineStr">
        <is>
          <t>Calbert K27 Cap</t>
        </is>
      </c>
      <c r="C6" s="4" t="inlineStr">
        <is>
          <t>Calcium / Supplement</t>
        </is>
      </c>
      <c r="D6" s="5" t="n">
        <v>247</v>
      </c>
      <c r="E6" s="5" t="n">
        <v>175</v>
      </c>
      <c r="F6" s="3" t="n">
        <v>42</v>
      </c>
      <c r="G6" s="3" t="n">
        <v>63</v>
      </c>
      <c r="H6" s="3" t="n">
        <v>55</v>
      </c>
      <c r="I6" s="3" t="n">
        <v>50</v>
      </c>
      <c r="J6" s="5" t="n">
        <v>13585</v>
      </c>
      <c r="K6" s="4" t="inlineStr">
        <is>
          <t>03/2026</t>
        </is>
      </c>
    </row>
    <row r="7">
      <c r="A7" s="3" t="n">
        <v>4</v>
      </c>
      <c r="B7" s="4" t="inlineStr">
        <is>
          <t>Ceroxim CV 500 Tab</t>
        </is>
      </c>
      <c r="C7" s="4" t="inlineStr">
        <is>
          <t>Antibiotic</t>
        </is>
      </c>
      <c r="D7" s="5" t="n">
        <v>480</v>
      </c>
      <c r="E7" s="5" t="n">
        <v>340</v>
      </c>
      <c r="F7" s="3" t="n">
        <v>50</v>
      </c>
      <c r="G7" s="3" t="n">
        <v>67</v>
      </c>
      <c r="H7" s="3" t="n">
        <v>26</v>
      </c>
      <c r="I7" s="3" t="n">
        <v>91</v>
      </c>
      <c r="J7" s="5" t="n">
        <v>12480</v>
      </c>
      <c r="K7" s="4" t="inlineStr">
        <is>
          <t>11/2026</t>
        </is>
      </c>
    </row>
    <row r="8">
      <c r="A8" s="3" t="n">
        <v>5</v>
      </c>
      <c r="B8" s="4" t="inlineStr">
        <is>
          <t>Pantobert D Tab</t>
        </is>
      </c>
      <c r="C8" s="4" t="inlineStr">
        <is>
          <t>Gastric Care</t>
        </is>
      </c>
      <c r="D8" s="5" t="n">
        <v>140</v>
      </c>
      <c r="E8" s="5" t="n">
        <v>95</v>
      </c>
      <c r="F8" s="3" t="n">
        <v>82</v>
      </c>
      <c r="G8" s="3" t="n">
        <v>76</v>
      </c>
      <c r="H8" s="3" t="n">
        <v>50</v>
      </c>
      <c r="I8" s="3" t="n">
        <v>108</v>
      </c>
      <c r="J8" s="5" t="n">
        <v>7000</v>
      </c>
      <c r="K8" s="4" t="inlineStr">
        <is>
          <t>09/2026</t>
        </is>
      </c>
    </row>
    <row r="9">
      <c r="A9" s="3" t="n">
        <v>6</v>
      </c>
      <c r="B9" s="4" t="inlineStr">
        <is>
          <t>Moxabert CV 625 Tab</t>
        </is>
      </c>
      <c r="C9" s="4" t="inlineStr">
        <is>
          <t>Antibiotic</t>
        </is>
      </c>
      <c r="D9" s="5" t="n">
        <v>225</v>
      </c>
      <c r="E9" s="5" t="n">
        <v>160</v>
      </c>
      <c r="F9" s="3" t="n">
        <v>35</v>
      </c>
      <c r="G9" s="3" t="n">
        <v>29</v>
      </c>
      <c r="H9" s="3" t="n">
        <v>23</v>
      </c>
      <c r="I9" s="3" t="n">
        <v>41</v>
      </c>
      <c r="J9" s="5" t="n">
        <v>5175</v>
      </c>
      <c r="K9" s="4" t="inlineStr">
        <is>
          <t>10/2026</t>
        </is>
      </c>
    </row>
    <row r="10">
      <c r="A10" s="3" t="n">
        <v>7</v>
      </c>
      <c r="B10" s="4" t="inlineStr">
        <is>
          <t>Chyawanprash 2KG</t>
        </is>
      </c>
      <c r="C10" s="4" t="inlineStr">
        <is>
          <t>Ayurvedic / Immunity</t>
        </is>
      </c>
      <c r="D10" s="5" t="n">
        <v>450</v>
      </c>
      <c r="E10" s="5" t="n">
        <v>330</v>
      </c>
      <c r="F10" s="3" t="n">
        <v>68</v>
      </c>
      <c r="G10" s="3" t="n">
        <v>44</v>
      </c>
      <c r="H10" s="3" t="n">
        <v>51</v>
      </c>
      <c r="I10" s="3" t="n">
        <v>61</v>
      </c>
      <c r="J10" s="5" t="n">
        <v>22950</v>
      </c>
      <c r="K10" s="4" t="inlineStr">
        <is>
          <t>12/2026</t>
        </is>
      </c>
    </row>
    <row r="11">
      <c r="A11" s="3" t="n">
        <v>8</v>
      </c>
      <c r="B11" s="4" t="inlineStr">
        <is>
          <t>Dolo Pain Spray</t>
        </is>
      </c>
      <c r="C11" s="4" t="inlineStr">
        <is>
          <t>Pain Relief</t>
        </is>
      </c>
      <c r="D11" s="5" t="n">
        <v>195</v>
      </c>
      <c r="E11" s="5" t="n">
        <v>140</v>
      </c>
      <c r="F11" s="3" t="n">
        <v>32</v>
      </c>
      <c r="G11" s="3" t="n">
        <v>55</v>
      </c>
      <c r="H11" s="3" t="n">
        <v>19</v>
      </c>
      <c r="I11" s="3" t="n">
        <v>68</v>
      </c>
      <c r="J11" s="5" t="n">
        <v>3705</v>
      </c>
      <c r="K11" s="4" t="inlineStr">
        <is>
          <t>04/2026</t>
        </is>
      </c>
    </row>
    <row r="12">
      <c r="A12" s="3" t="n">
        <v>9</v>
      </c>
      <c r="B12" s="4" t="inlineStr">
        <is>
          <t>Abzolid 600 Tab</t>
        </is>
      </c>
      <c r="C12" s="4" t="inlineStr">
        <is>
          <t>Antibiotic</t>
        </is>
      </c>
      <c r="D12" s="5" t="n">
        <v>406</v>
      </c>
      <c r="E12" s="5" t="n">
        <v>285</v>
      </c>
      <c r="F12" s="3" t="n">
        <v>69</v>
      </c>
      <c r="G12" s="3" t="n">
        <v>49</v>
      </c>
      <c r="H12" s="3" t="n">
        <v>50</v>
      </c>
      <c r="I12" s="3" t="n">
        <v>68</v>
      </c>
      <c r="J12" s="5" t="n">
        <v>20300</v>
      </c>
      <c r="K12" s="4" t="inlineStr">
        <is>
          <t>06/2026</t>
        </is>
      </c>
    </row>
    <row r="13">
      <c r="A13" s="3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3" t="n">
        <v>49</v>
      </c>
      <c r="G13" s="3" t="n">
        <v>37</v>
      </c>
      <c r="H13" s="3" t="n">
        <v>18</v>
      </c>
      <c r="I13" s="3" t="n">
        <v>68</v>
      </c>
      <c r="J13" s="5" t="n">
        <v>3564</v>
      </c>
      <c r="K13" s="4" t="inlineStr">
        <is>
          <t>07/2026</t>
        </is>
      </c>
    </row>
    <row r="14">
      <c r="A14" s="3" t="n">
        <v>11</v>
      </c>
      <c r="B14" s="4" t="inlineStr">
        <is>
          <t>Chymotas Forte Tab</t>
        </is>
      </c>
      <c r="C14" s="4" t="inlineStr">
        <is>
          <t>Pain / Swelling</t>
        </is>
      </c>
      <c r="D14" s="5" t="n">
        <v>370</v>
      </c>
      <c r="E14" s="5" t="n">
        <v>260</v>
      </c>
      <c r="F14" s="3" t="n">
        <v>36</v>
      </c>
      <c r="G14" s="3" t="n">
        <v>37</v>
      </c>
      <c r="H14" s="3" t="n">
        <v>35</v>
      </c>
      <c r="I14" s="3" t="n">
        <v>38</v>
      </c>
      <c r="J14" s="5" t="n">
        <v>12950</v>
      </c>
      <c r="K14" s="4" t="inlineStr">
        <is>
          <t>05/2026</t>
        </is>
      </c>
    </row>
    <row r="15">
      <c r="A15" s="3" t="n">
        <v>12</v>
      </c>
      <c r="B15" s="4" t="inlineStr">
        <is>
          <t>Skinshine Ointment 30g</t>
        </is>
      </c>
      <c r="C15" s="4" t="inlineStr">
        <is>
          <t>Dermatology</t>
        </is>
      </c>
      <c r="D15" s="5" t="n">
        <v>149</v>
      </c>
      <c r="E15" s="5" t="n">
        <v>105</v>
      </c>
      <c r="F15" s="3" t="n">
        <v>57</v>
      </c>
      <c r="G15" s="3" t="n">
        <v>49</v>
      </c>
      <c r="H15" s="3" t="n">
        <v>24</v>
      </c>
      <c r="I15" s="3" t="n">
        <v>82</v>
      </c>
      <c r="J15" s="5" t="n">
        <v>3576</v>
      </c>
      <c r="K15" s="4" t="inlineStr">
        <is>
          <t>03/2026</t>
        </is>
      </c>
    </row>
    <row r="16">
      <c r="A16" s="3" t="n">
        <v>13</v>
      </c>
      <c r="B16" s="4" t="inlineStr">
        <is>
          <t>Dexalife Inj 30ml</t>
        </is>
      </c>
      <c r="C16" s="4" t="inlineStr">
        <is>
          <t>Injectable</t>
        </is>
      </c>
      <c r="D16" s="5" t="n">
        <v>73</v>
      </c>
      <c r="E16" s="5" t="n">
        <v>48</v>
      </c>
      <c r="F16" s="3" t="n">
        <v>79</v>
      </c>
      <c r="G16" s="3" t="n">
        <v>27</v>
      </c>
      <c r="H16" s="3" t="n">
        <v>28</v>
      </c>
      <c r="I16" s="3" t="n">
        <v>78</v>
      </c>
      <c r="J16" s="5" t="n">
        <v>2044</v>
      </c>
      <c r="K16" s="4" t="inlineStr">
        <is>
          <t>04/2026</t>
        </is>
      </c>
    </row>
    <row r="17">
      <c r="A17" s="3" t="n">
        <v>14</v>
      </c>
      <c r="B17" s="4" t="inlineStr">
        <is>
          <t>Moxeb Eye Drop</t>
        </is>
      </c>
      <c r="C17" s="4" t="inlineStr">
        <is>
          <t>Eye Care</t>
        </is>
      </c>
      <c r="D17" s="5" t="n">
        <v>90</v>
      </c>
      <c r="E17" s="5" t="n">
        <v>62</v>
      </c>
      <c r="F17" s="3" t="n">
        <v>65</v>
      </c>
      <c r="G17" s="3" t="n">
        <v>35</v>
      </c>
      <c r="H17" s="3" t="n">
        <v>48</v>
      </c>
      <c r="I17" s="3" t="n">
        <v>52</v>
      </c>
      <c r="J17" s="5" t="n">
        <v>4320</v>
      </c>
      <c r="K17" s="4" t="inlineStr">
        <is>
          <t>07/2026</t>
        </is>
      </c>
    </row>
    <row r="18">
      <c r="A18" s="3" t="n">
        <v>15</v>
      </c>
      <c r="B18" s="4" t="inlineStr">
        <is>
          <t>Lycozen Cap</t>
        </is>
      </c>
      <c r="C18" s="4" t="inlineStr">
        <is>
          <t>Multivitamin</t>
        </is>
      </c>
      <c r="D18" s="5" t="n">
        <v>175</v>
      </c>
      <c r="E18" s="5" t="n">
        <v>120</v>
      </c>
      <c r="F18" s="3" t="n">
        <v>60</v>
      </c>
      <c r="G18" s="3" t="n">
        <v>61</v>
      </c>
      <c r="H18" s="3" t="n">
        <v>21</v>
      </c>
      <c r="I18" s="3" t="n">
        <v>100</v>
      </c>
      <c r="J18" s="5" t="n">
        <v>3675</v>
      </c>
      <c r="K18" s="4" t="inlineStr">
        <is>
          <t>01/2026</t>
        </is>
      </c>
    </row>
    <row r="19">
      <c r="A19" s="3" t="n">
        <v>16</v>
      </c>
      <c r="B19" s="4" t="inlineStr">
        <is>
          <t>Deca-Intabolin 50mg Inj</t>
        </is>
      </c>
      <c r="C19" s="4" t="inlineStr">
        <is>
          <t>Steroid / Inj</t>
        </is>
      </c>
      <c r="D19" s="5" t="n">
        <v>280</v>
      </c>
      <c r="E19" s="5" t="n">
        <v>195</v>
      </c>
      <c r="F19" s="3" t="n">
        <v>26</v>
      </c>
      <c r="G19" s="3" t="n">
        <v>20</v>
      </c>
      <c r="H19" s="3" t="n">
        <v>26</v>
      </c>
      <c r="I19" s="3" t="n">
        <v>20</v>
      </c>
      <c r="J19" s="5" t="n">
        <v>7280</v>
      </c>
      <c r="K19" s="4" t="inlineStr">
        <is>
          <t>08/2026</t>
        </is>
      </c>
    </row>
    <row r="20">
      <c r="A20" s="3" t="n">
        <v>17</v>
      </c>
      <c r="B20" s="4" t="inlineStr">
        <is>
          <t>Ketomac Shampoo 100ml</t>
        </is>
      </c>
      <c r="C20" s="4" t="inlineStr">
        <is>
          <t>Dermatology</t>
        </is>
      </c>
      <c r="D20" s="5" t="n">
        <v>220</v>
      </c>
      <c r="E20" s="5" t="n">
        <v>155</v>
      </c>
      <c r="F20" s="3" t="n">
        <v>75</v>
      </c>
      <c r="G20" s="3" t="n">
        <v>74</v>
      </c>
      <c r="H20" s="3" t="n">
        <v>55</v>
      </c>
      <c r="I20" s="3" t="n">
        <v>94</v>
      </c>
      <c r="J20" s="5" t="n">
        <v>12100</v>
      </c>
      <c r="K20" s="4" t="inlineStr">
        <is>
          <t>09/2026</t>
        </is>
      </c>
    </row>
    <row r="21">
      <c r="A21" s="3" t="n">
        <v>18</v>
      </c>
      <c r="B21" s="4" t="inlineStr">
        <is>
          <t>Clobeta GM 10g Cream</t>
        </is>
      </c>
      <c r="C21" s="4" t="inlineStr">
        <is>
          <t>Dermatology</t>
        </is>
      </c>
      <c r="D21" s="5" t="n">
        <v>85</v>
      </c>
      <c r="E21" s="5" t="n">
        <v>58</v>
      </c>
      <c r="F21" s="3" t="n">
        <v>83</v>
      </c>
      <c r="G21" s="3" t="n">
        <v>61</v>
      </c>
      <c r="H21" s="3" t="n">
        <v>54</v>
      </c>
      <c r="I21" s="3" t="n">
        <v>90</v>
      </c>
      <c r="J21" s="5" t="n">
        <v>4590</v>
      </c>
      <c r="K21" s="4" t="inlineStr">
        <is>
          <t>02/2026</t>
        </is>
      </c>
    </row>
    <row r="22">
      <c r="A22" s="3" t="n">
        <v>19</v>
      </c>
      <c r="B22" s="4" t="inlineStr">
        <is>
          <t>Montas FX Tab</t>
        </is>
      </c>
      <c r="C22" s="4" t="inlineStr">
        <is>
          <t>Respiratory / Allergy</t>
        </is>
      </c>
      <c r="D22" s="5" t="n">
        <v>210</v>
      </c>
      <c r="E22" s="5" t="n">
        <v>148</v>
      </c>
      <c r="F22" s="3" t="n">
        <v>30</v>
      </c>
      <c r="G22" s="3" t="n">
        <v>71</v>
      </c>
      <c r="H22" s="3" t="n">
        <v>51</v>
      </c>
      <c r="I22" s="3" t="n">
        <v>50</v>
      </c>
      <c r="J22" s="5" t="n">
        <v>10710</v>
      </c>
      <c r="K22" s="4" t="inlineStr">
        <is>
          <t>10/2026</t>
        </is>
      </c>
    </row>
    <row r="23">
      <c r="A23" s="3" t="n">
        <v>20</v>
      </c>
      <c r="B23" s="4" t="inlineStr">
        <is>
          <t>Intapeptin Syrup 60ml</t>
        </is>
      </c>
      <c r="C23" s="4" t="inlineStr">
        <is>
          <t>Pediatric Care</t>
        </is>
      </c>
      <c r="D23" s="5" t="n">
        <v>110</v>
      </c>
      <c r="E23" s="5" t="n">
        <v>76</v>
      </c>
      <c r="F23" s="3" t="n">
        <v>55</v>
      </c>
      <c r="G23" s="3" t="n">
        <v>70</v>
      </c>
      <c r="H23" s="3" t="n">
        <v>36</v>
      </c>
      <c r="I23" s="3" t="n">
        <v>89</v>
      </c>
      <c r="J23" s="5" t="n">
        <v>3960</v>
      </c>
      <c r="K23" s="4" t="inlineStr">
        <is>
          <t>06/2026</t>
        </is>
      </c>
    </row>
    <row r="24">
      <c r="A24" s="3" t="n">
        <v>21</v>
      </c>
      <c r="B24" s="4" t="inlineStr">
        <is>
          <t>Sicflox CX Tab</t>
        </is>
      </c>
      <c r="C24" s="4" t="inlineStr">
        <is>
          <t>Antibiotic</t>
        </is>
      </c>
      <c r="D24" s="5" t="n">
        <v>135</v>
      </c>
      <c r="E24" s="5" t="n">
        <v>92</v>
      </c>
      <c r="F24" s="3" t="n">
        <v>85</v>
      </c>
      <c r="G24" s="3" t="n">
        <v>62</v>
      </c>
      <c r="H24" s="3" t="n">
        <v>32</v>
      </c>
      <c r="I24" s="3" t="n">
        <v>115</v>
      </c>
      <c r="J24" s="5" t="n">
        <v>4320</v>
      </c>
      <c r="K24" s="4" t="inlineStr">
        <is>
          <t>05/2026</t>
        </is>
      </c>
    </row>
    <row r="25">
      <c r="A25" s="3" t="n">
        <v>22</v>
      </c>
      <c r="B25" s="4" t="inlineStr">
        <is>
          <t>Motinor LC Syrup 60ml</t>
        </is>
      </c>
      <c r="C25" s="4" t="inlineStr">
        <is>
          <t>Pediatric Care</t>
        </is>
      </c>
      <c r="D25" s="5" t="n">
        <v>95</v>
      </c>
      <c r="E25" s="5" t="n">
        <v>65</v>
      </c>
      <c r="F25" s="3" t="n">
        <v>95</v>
      </c>
      <c r="G25" s="3" t="n">
        <v>57</v>
      </c>
      <c r="H25" s="3" t="n">
        <v>27</v>
      </c>
      <c r="I25" s="3" t="n">
        <v>125</v>
      </c>
      <c r="J25" s="5" t="n">
        <v>2565</v>
      </c>
      <c r="K25" s="4" t="inlineStr">
        <is>
          <t>11/2026</t>
        </is>
      </c>
    </row>
    <row r="26">
      <c r="A26" s="3" t="n">
        <v>23</v>
      </c>
      <c r="B26" s="4" t="inlineStr">
        <is>
          <t>Itra-Albert 200mg Cap</t>
        </is>
      </c>
      <c r="C26" s="4" t="inlineStr">
        <is>
          <t>Antifungal</t>
        </is>
      </c>
      <c r="D26" s="5" t="n">
        <v>225</v>
      </c>
      <c r="E26" s="5" t="n">
        <v>160</v>
      </c>
      <c r="F26" s="3" t="n">
        <v>65</v>
      </c>
      <c r="G26" s="3" t="n">
        <v>41</v>
      </c>
      <c r="H26" s="3" t="n">
        <v>49</v>
      </c>
      <c r="I26" s="3" t="n">
        <v>57</v>
      </c>
      <c r="J26" s="5" t="n">
        <v>11025</v>
      </c>
      <c r="K26" s="4" t="inlineStr">
        <is>
          <t>04/2026</t>
        </is>
      </c>
    </row>
    <row r="27">
      <c r="A27" s="3" t="n">
        <v>24</v>
      </c>
      <c r="B27" s="4" t="inlineStr">
        <is>
          <t>Alamin Plus Cap</t>
        </is>
      </c>
      <c r="C27" s="4" t="inlineStr">
        <is>
          <t>Protein / Supplement</t>
        </is>
      </c>
      <c r="D27" s="5" t="n">
        <v>131</v>
      </c>
      <c r="E27" s="5" t="n">
        <v>90</v>
      </c>
      <c r="F27" s="3" t="n">
        <v>42</v>
      </c>
      <c r="G27" s="3" t="n">
        <v>38</v>
      </c>
      <c r="H27" s="3" t="n">
        <v>16</v>
      </c>
      <c r="I27" s="3" t="n">
        <v>64</v>
      </c>
      <c r="J27" s="5" t="n">
        <v>2096</v>
      </c>
      <c r="K27" s="4" t="inlineStr">
        <is>
          <t>01/2026</t>
        </is>
      </c>
    </row>
    <row r="28">
      <c r="A28" s="3" t="n">
        <v>25</v>
      </c>
      <c r="B28" s="4" t="inlineStr">
        <is>
          <t>Patobert 40 Tab</t>
        </is>
      </c>
      <c r="C28" s="4" t="inlineStr">
        <is>
          <t>Gastric Care</t>
        </is>
      </c>
      <c r="D28" s="5" t="n">
        <v>110</v>
      </c>
      <c r="E28" s="5" t="n">
        <v>75</v>
      </c>
      <c r="F28" s="3" t="n">
        <v>71</v>
      </c>
      <c r="G28" s="3" t="n">
        <v>77</v>
      </c>
      <c r="H28" s="3" t="n">
        <v>37</v>
      </c>
      <c r="I28" s="3" t="n">
        <v>111</v>
      </c>
      <c r="J28" s="5" t="n">
        <v>4070</v>
      </c>
      <c r="K28" s="4" t="inlineStr">
        <is>
          <t>12/2026</t>
        </is>
      </c>
    </row>
    <row r="29">
      <c r="A29" s="3" t="n">
        <v>26</v>
      </c>
      <c r="B29" s="4" t="inlineStr">
        <is>
          <t>Mahanac Tab</t>
        </is>
      </c>
      <c r="C29" s="4" t="inlineStr">
        <is>
          <t>Pain Relief</t>
        </is>
      </c>
      <c r="D29" s="5" t="n">
        <v>72</v>
      </c>
      <c r="E29" s="5" t="n">
        <v>48</v>
      </c>
      <c r="F29" s="3" t="n">
        <v>76</v>
      </c>
      <c r="G29" s="3" t="n">
        <v>60</v>
      </c>
      <c r="H29" s="3" t="n">
        <v>40</v>
      </c>
      <c r="I29" s="3" t="n">
        <v>96</v>
      </c>
      <c r="J29" s="5" t="n">
        <v>2880</v>
      </c>
      <c r="K29" s="4" t="inlineStr">
        <is>
          <t>08/2026</t>
        </is>
      </c>
    </row>
    <row r="30">
      <c r="A30" s="3" t="n">
        <v>27</v>
      </c>
      <c r="B30" s="4" t="inlineStr">
        <is>
          <t>Rabalkem DSR Cap</t>
        </is>
      </c>
      <c r="C30" s="4" t="inlineStr">
        <is>
          <t>Gastric Care</t>
        </is>
      </c>
      <c r="D30" s="5" t="n">
        <v>183</v>
      </c>
      <c r="E30" s="5" t="n">
        <v>128</v>
      </c>
      <c r="F30" s="3" t="n">
        <v>53</v>
      </c>
      <c r="G30" s="3" t="n">
        <v>53</v>
      </c>
      <c r="H30" s="3" t="n">
        <v>18</v>
      </c>
      <c r="I30" s="3" t="n">
        <v>88</v>
      </c>
      <c r="J30" s="5" t="n">
        <v>3294</v>
      </c>
      <c r="K30" s="4" t="inlineStr">
        <is>
          <t>08/2026</t>
        </is>
      </c>
    </row>
    <row r="31">
      <c r="A31" s="3" t="n">
        <v>28</v>
      </c>
      <c r="B31" s="4" t="inlineStr">
        <is>
          <t>Chyawanprash 500g</t>
        </is>
      </c>
      <c r="C31" s="4" t="inlineStr">
        <is>
          <t>Ayurvedic</t>
        </is>
      </c>
      <c r="D31" s="5" t="n">
        <v>210</v>
      </c>
      <c r="E31" s="5" t="n">
        <v>150</v>
      </c>
      <c r="F31" s="3" t="n">
        <v>52</v>
      </c>
      <c r="G31" s="3" t="n">
        <v>29</v>
      </c>
      <c r="H31" s="3" t="n">
        <v>28</v>
      </c>
      <c r="I31" s="3" t="n">
        <v>53</v>
      </c>
      <c r="J31" s="5" t="n">
        <v>5880</v>
      </c>
      <c r="K31" s="4" t="inlineStr">
        <is>
          <t>09/2026</t>
        </is>
      </c>
    </row>
    <row r="32">
      <c r="A32" s="3" t="n">
        <v>29</v>
      </c>
      <c r="B32" s="4" t="inlineStr">
        <is>
          <t>Gentalab 30ml Inj</t>
        </is>
      </c>
      <c r="C32" s="4" t="inlineStr">
        <is>
          <t>Injectable</t>
        </is>
      </c>
      <c r="D32" s="5" t="n">
        <v>45</v>
      </c>
      <c r="E32" s="5" t="n">
        <v>28</v>
      </c>
      <c r="F32" s="3" t="n">
        <v>43</v>
      </c>
      <c r="G32" s="3" t="n">
        <v>41</v>
      </c>
      <c r="H32" s="3" t="n">
        <v>22</v>
      </c>
      <c r="I32" s="3" t="n">
        <v>62</v>
      </c>
      <c r="J32" s="5" t="n">
        <v>990</v>
      </c>
      <c r="K32" s="4" t="inlineStr">
        <is>
          <t>03/2026</t>
        </is>
      </c>
    </row>
    <row r="33">
      <c r="A33" s="3" t="n">
        <v>30</v>
      </c>
      <c r="B33" s="4" t="inlineStr">
        <is>
          <t>Moxib D Eye Drop</t>
        </is>
      </c>
      <c r="C33" s="4" t="inlineStr">
        <is>
          <t>Eye Care</t>
        </is>
      </c>
      <c r="D33" s="5" t="n">
        <v>110</v>
      </c>
      <c r="E33" s="5" t="n">
        <v>78</v>
      </c>
      <c r="F33" s="3" t="n">
        <v>72</v>
      </c>
      <c r="G33" s="3" t="n">
        <v>21</v>
      </c>
      <c r="H33" s="3" t="n">
        <v>22</v>
      </c>
      <c r="I33" s="3" t="n">
        <v>71</v>
      </c>
      <c r="J33" s="5" t="n">
        <v>2420</v>
      </c>
      <c r="K33" s="4" t="inlineStr">
        <is>
          <t>06/2026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Inventory &amp; Sales Register (Mar 2026)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Price (₹)</t>
        </is>
      </c>
      <c r="F3" s="2" t="inlineStr">
        <is>
          <t>Opening Stock</t>
        </is>
      </c>
      <c r="G3" s="2" t="inlineStr">
        <is>
          <t>Purchase Qty</t>
        </is>
      </c>
      <c r="H3" s="2" t="inlineStr">
        <is>
          <t>Sales Qty</t>
        </is>
      </c>
      <c r="I3" s="2" t="inlineStr">
        <is>
          <t>Closing Stock</t>
        </is>
      </c>
      <c r="J3" s="2" t="inlineStr">
        <is>
          <t>Total Sales Revenue (₹)</t>
        </is>
      </c>
      <c r="K3" s="2" t="inlineStr">
        <is>
          <t>Expiry Date</t>
        </is>
      </c>
    </row>
    <row r="4">
      <c r="A4" s="3" t="n">
        <v>1</v>
      </c>
      <c r="B4" s="4" t="inlineStr">
        <is>
          <t>Rabitec DSR Cap</t>
        </is>
      </c>
      <c r="C4" s="4" t="inlineStr">
        <is>
          <t>Gastric Care</t>
        </is>
      </c>
      <c r="D4" s="5" t="n">
        <v>185</v>
      </c>
      <c r="E4" s="5" t="n">
        <v>130</v>
      </c>
      <c r="F4" s="3" t="n">
        <v>50</v>
      </c>
      <c r="G4" s="3" t="n">
        <v>63</v>
      </c>
      <c r="H4" s="3" t="n">
        <v>43</v>
      </c>
      <c r="I4" s="3" t="n">
        <v>70</v>
      </c>
      <c r="J4" s="5" t="n">
        <v>7955</v>
      </c>
      <c r="K4" s="4" t="inlineStr">
        <is>
          <t>08/2026</t>
        </is>
      </c>
    </row>
    <row r="5">
      <c r="A5" s="3" t="n">
        <v>2</v>
      </c>
      <c r="B5" s="4" t="inlineStr">
        <is>
          <t>Montas L Tab (10s)</t>
        </is>
      </c>
      <c r="C5" s="4" t="inlineStr">
        <is>
          <t>Respiratory / Cold</t>
        </is>
      </c>
      <c r="D5" s="5" t="n">
        <v>165</v>
      </c>
      <c r="E5" s="5" t="n">
        <v>115</v>
      </c>
      <c r="F5" s="3" t="n">
        <v>90</v>
      </c>
      <c r="G5" s="3" t="n">
        <v>62</v>
      </c>
      <c r="H5" s="3" t="n">
        <v>38</v>
      </c>
      <c r="I5" s="3" t="n">
        <v>114</v>
      </c>
      <c r="J5" s="5" t="n">
        <v>6270</v>
      </c>
      <c r="K5" s="4" t="inlineStr">
        <is>
          <t>05/2026</t>
        </is>
      </c>
    </row>
    <row r="6">
      <c r="A6" s="3" t="n">
        <v>3</v>
      </c>
      <c r="B6" s="4" t="inlineStr">
        <is>
          <t>Calbert K27 Cap</t>
        </is>
      </c>
      <c r="C6" s="4" t="inlineStr">
        <is>
          <t>Calcium / Supplement</t>
        </is>
      </c>
      <c r="D6" s="5" t="n">
        <v>247</v>
      </c>
      <c r="E6" s="5" t="n">
        <v>175</v>
      </c>
      <c r="F6" s="3" t="n">
        <v>95</v>
      </c>
      <c r="G6" s="3" t="n">
        <v>33</v>
      </c>
      <c r="H6" s="3" t="n">
        <v>55</v>
      </c>
      <c r="I6" s="3" t="n">
        <v>73</v>
      </c>
      <c r="J6" s="5" t="n">
        <v>13585</v>
      </c>
      <c r="K6" s="4" t="inlineStr">
        <is>
          <t>03/2026</t>
        </is>
      </c>
    </row>
    <row r="7">
      <c r="A7" s="3" t="n">
        <v>4</v>
      </c>
      <c r="B7" s="4" t="inlineStr">
        <is>
          <t>Ceroxim CV 500 Tab</t>
        </is>
      </c>
      <c r="C7" s="4" t="inlineStr">
        <is>
          <t>Antibiotic</t>
        </is>
      </c>
      <c r="D7" s="5" t="n">
        <v>480</v>
      </c>
      <c r="E7" s="5" t="n">
        <v>340</v>
      </c>
      <c r="F7" s="3" t="n">
        <v>83</v>
      </c>
      <c r="G7" s="3" t="n">
        <v>54</v>
      </c>
      <c r="H7" s="3" t="n">
        <v>23</v>
      </c>
      <c r="I7" s="3" t="n">
        <v>114</v>
      </c>
      <c r="J7" s="5" t="n">
        <v>11040</v>
      </c>
      <c r="K7" s="4" t="inlineStr">
        <is>
          <t>11/2026</t>
        </is>
      </c>
    </row>
    <row r="8">
      <c r="A8" s="3" t="n">
        <v>5</v>
      </c>
      <c r="B8" s="4" t="inlineStr">
        <is>
          <t>Pantobert D Tab</t>
        </is>
      </c>
      <c r="C8" s="4" t="inlineStr">
        <is>
          <t>Gastric Care</t>
        </is>
      </c>
      <c r="D8" s="5" t="n">
        <v>140</v>
      </c>
      <c r="E8" s="5" t="n">
        <v>95</v>
      </c>
      <c r="F8" s="3" t="n">
        <v>65</v>
      </c>
      <c r="G8" s="3" t="n">
        <v>39</v>
      </c>
      <c r="H8" s="3" t="n">
        <v>50</v>
      </c>
      <c r="I8" s="3" t="n">
        <v>54</v>
      </c>
      <c r="J8" s="5" t="n">
        <v>7000</v>
      </c>
      <c r="K8" s="4" t="inlineStr">
        <is>
          <t>09/2026</t>
        </is>
      </c>
    </row>
    <row r="9">
      <c r="A9" s="3" t="n">
        <v>6</v>
      </c>
      <c r="B9" s="4" t="inlineStr">
        <is>
          <t>Moxabert CV 625 Tab</t>
        </is>
      </c>
      <c r="C9" s="4" t="inlineStr">
        <is>
          <t>Antibiotic</t>
        </is>
      </c>
      <c r="D9" s="5" t="n">
        <v>225</v>
      </c>
      <c r="E9" s="5" t="n">
        <v>160</v>
      </c>
      <c r="F9" s="3" t="n">
        <v>57</v>
      </c>
      <c r="G9" s="3" t="n">
        <v>35</v>
      </c>
      <c r="H9" s="3" t="n">
        <v>34</v>
      </c>
      <c r="I9" s="3" t="n">
        <v>58</v>
      </c>
      <c r="J9" s="5" t="n">
        <v>7650</v>
      </c>
      <c r="K9" s="4" t="inlineStr">
        <is>
          <t>10/2026</t>
        </is>
      </c>
    </row>
    <row r="10">
      <c r="A10" s="3" t="n">
        <v>7</v>
      </c>
      <c r="B10" s="4" t="inlineStr">
        <is>
          <t>Chyawanprash 2KG</t>
        </is>
      </c>
      <c r="C10" s="4" t="inlineStr">
        <is>
          <t>Ayurvedic / Immunity</t>
        </is>
      </c>
      <c r="D10" s="5" t="n">
        <v>450</v>
      </c>
      <c r="E10" s="5" t="n">
        <v>330</v>
      </c>
      <c r="F10" s="3" t="n">
        <v>51</v>
      </c>
      <c r="G10" s="3" t="n">
        <v>49</v>
      </c>
      <c r="H10" s="3" t="n">
        <v>42</v>
      </c>
      <c r="I10" s="3" t="n">
        <v>58</v>
      </c>
      <c r="J10" s="5" t="n">
        <v>18900</v>
      </c>
      <c r="K10" s="4" t="inlineStr">
        <is>
          <t>12/2026</t>
        </is>
      </c>
    </row>
    <row r="11">
      <c r="A11" s="3" t="n">
        <v>8</v>
      </c>
      <c r="B11" s="4" t="inlineStr">
        <is>
          <t>Dolo Pain Spray</t>
        </is>
      </c>
      <c r="C11" s="4" t="inlineStr">
        <is>
          <t>Pain Relief</t>
        </is>
      </c>
      <c r="D11" s="5" t="n">
        <v>195</v>
      </c>
      <c r="E11" s="5" t="n">
        <v>140</v>
      </c>
      <c r="F11" s="3" t="n">
        <v>30</v>
      </c>
      <c r="G11" s="3" t="n">
        <v>35</v>
      </c>
      <c r="H11" s="3" t="n">
        <v>34</v>
      </c>
      <c r="I11" s="3" t="n">
        <v>31</v>
      </c>
      <c r="J11" s="5" t="n">
        <v>6630</v>
      </c>
      <c r="K11" s="4" t="inlineStr">
        <is>
          <t>04/2026</t>
        </is>
      </c>
    </row>
    <row r="12">
      <c r="A12" s="3" t="n">
        <v>9</v>
      </c>
      <c r="B12" s="4" t="inlineStr">
        <is>
          <t>Abzolid 600 Tab</t>
        </is>
      </c>
      <c r="C12" s="4" t="inlineStr">
        <is>
          <t>Antibiotic</t>
        </is>
      </c>
      <c r="D12" s="5" t="n">
        <v>406</v>
      </c>
      <c r="E12" s="5" t="n">
        <v>285</v>
      </c>
      <c r="F12" s="3" t="n">
        <v>68</v>
      </c>
      <c r="G12" s="3" t="n">
        <v>67</v>
      </c>
      <c r="H12" s="3" t="n">
        <v>18</v>
      </c>
      <c r="I12" s="3" t="n">
        <v>117</v>
      </c>
      <c r="J12" s="5" t="n">
        <v>7308</v>
      </c>
      <c r="K12" s="4" t="inlineStr">
        <is>
          <t>06/2026</t>
        </is>
      </c>
    </row>
    <row r="13">
      <c r="A13" s="3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3" t="n">
        <v>81</v>
      </c>
      <c r="G13" s="3" t="n">
        <v>62</v>
      </c>
      <c r="H13" s="3" t="n">
        <v>43</v>
      </c>
      <c r="I13" s="3" t="n">
        <v>100</v>
      </c>
      <c r="J13" s="5" t="n">
        <v>8514</v>
      </c>
      <c r="K13" s="4" t="inlineStr">
        <is>
          <t>07/2026</t>
        </is>
      </c>
    </row>
    <row r="14">
      <c r="A14" s="3" t="n">
        <v>11</v>
      </c>
      <c r="B14" s="4" t="inlineStr">
        <is>
          <t>Chymotas Forte Tab</t>
        </is>
      </c>
      <c r="C14" s="4" t="inlineStr">
        <is>
          <t>Pain / Swelling</t>
        </is>
      </c>
      <c r="D14" s="5" t="n">
        <v>370</v>
      </c>
      <c r="E14" s="5" t="n">
        <v>260</v>
      </c>
      <c r="F14" s="3" t="n">
        <v>59</v>
      </c>
      <c r="G14" s="3" t="n">
        <v>55</v>
      </c>
      <c r="H14" s="3" t="n">
        <v>18</v>
      </c>
      <c r="I14" s="3" t="n">
        <v>96</v>
      </c>
      <c r="J14" s="5" t="n">
        <v>6660</v>
      </c>
      <c r="K14" s="4" t="inlineStr">
        <is>
          <t>05/2026</t>
        </is>
      </c>
    </row>
    <row r="15">
      <c r="A15" s="3" t="n">
        <v>12</v>
      </c>
      <c r="B15" s="4" t="inlineStr">
        <is>
          <t>Skinshine Ointment 30g</t>
        </is>
      </c>
      <c r="C15" s="4" t="inlineStr">
        <is>
          <t>Dermatology</t>
        </is>
      </c>
      <c r="D15" s="5" t="n">
        <v>149</v>
      </c>
      <c r="E15" s="5" t="n">
        <v>105</v>
      </c>
      <c r="F15" s="3" t="n">
        <v>29</v>
      </c>
      <c r="G15" s="3" t="n">
        <v>69</v>
      </c>
      <c r="H15" s="3" t="n">
        <v>28</v>
      </c>
      <c r="I15" s="3" t="n">
        <v>70</v>
      </c>
      <c r="J15" s="5" t="n">
        <v>4172</v>
      </c>
      <c r="K15" s="4" t="inlineStr">
        <is>
          <t>03/2026</t>
        </is>
      </c>
    </row>
    <row r="16">
      <c r="A16" s="3" t="n">
        <v>13</v>
      </c>
      <c r="B16" s="4" t="inlineStr">
        <is>
          <t>Dexalife Inj 30ml</t>
        </is>
      </c>
      <c r="C16" s="4" t="inlineStr">
        <is>
          <t>Injectable</t>
        </is>
      </c>
      <c r="D16" s="5" t="n">
        <v>73</v>
      </c>
      <c r="E16" s="5" t="n">
        <v>48</v>
      </c>
      <c r="F16" s="3" t="n">
        <v>32</v>
      </c>
      <c r="G16" s="3" t="n">
        <v>20</v>
      </c>
      <c r="H16" s="3" t="n">
        <v>44</v>
      </c>
      <c r="I16" s="3" t="n">
        <v>8</v>
      </c>
      <c r="J16" s="5" t="n">
        <v>3212</v>
      </c>
      <c r="K16" s="4" t="inlineStr">
        <is>
          <t>04/2026</t>
        </is>
      </c>
    </row>
    <row r="17">
      <c r="A17" s="3" t="n">
        <v>14</v>
      </c>
      <c r="B17" s="4" t="inlineStr">
        <is>
          <t>Moxeb Eye Drop</t>
        </is>
      </c>
      <c r="C17" s="4" t="inlineStr">
        <is>
          <t>Eye Care</t>
        </is>
      </c>
      <c r="D17" s="5" t="n">
        <v>90</v>
      </c>
      <c r="E17" s="5" t="n">
        <v>62</v>
      </c>
      <c r="F17" s="3" t="n">
        <v>82</v>
      </c>
      <c r="G17" s="3" t="n">
        <v>62</v>
      </c>
      <c r="H17" s="3" t="n">
        <v>41</v>
      </c>
      <c r="I17" s="3" t="n">
        <v>103</v>
      </c>
      <c r="J17" s="5" t="n">
        <v>3690</v>
      </c>
      <c r="K17" s="4" t="inlineStr">
        <is>
          <t>07/2026</t>
        </is>
      </c>
    </row>
    <row r="18">
      <c r="A18" s="3" t="n">
        <v>15</v>
      </c>
      <c r="B18" s="4" t="inlineStr">
        <is>
          <t>Lycozen Cap</t>
        </is>
      </c>
      <c r="C18" s="4" t="inlineStr">
        <is>
          <t>Multivitamin</t>
        </is>
      </c>
      <c r="D18" s="5" t="n">
        <v>175</v>
      </c>
      <c r="E18" s="5" t="n">
        <v>120</v>
      </c>
      <c r="F18" s="3" t="n">
        <v>43</v>
      </c>
      <c r="G18" s="3" t="n">
        <v>51</v>
      </c>
      <c r="H18" s="3" t="n">
        <v>32</v>
      </c>
      <c r="I18" s="3" t="n">
        <v>62</v>
      </c>
      <c r="J18" s="5" t="n">
        <v>5600</v>
      </c>
      <c r="K18" s="4" t="inlineStr">
        <is>
          <t>01/2026</t>
        </is>
      </c>
    </row>
    <row r="19">
      <c r="A19" s="3" t="n">
        <v>16</v>
      </c>
      <c r="B19" s="4" t="inlineStr">
        <is>
          <t>Deca-Intabolin 50mg Inj</t>
        </is>
      </c>
      <c r="C19" s="4" t="inlineStr">
        <is>
          <t>Steroid / Inj</t>
        </is>
      </c>
      <c r="D19" s="5" t="n">
        <v>280</v>
      </c>
      <c r="E19" s="5" t="n">
        <v>195</v>
      </c>
      <c r="F19" s="3" t="n">
        <v>32</v>
      </c>
      <c r="G19" s="3" t="n">
        <v>22</v>
      </c>
      <c r="H19" s="3" t="n">
        <v>49</v>
      </c>
      <c r="I19" s="3" t="n">
        <v>5</v>
      </c>
      <c r="J19" s="5" t="n">
        <v>13720</v>
      </c>
      <c r="K19" s="4" t="inlineStr">
        <is>
          <t>08/2026</t>
        </is>
      </c>
    </row>
    <row r="20">
      <c r="A20" s="3" t="n">
        <v>17</v>
      </c>
      <c r="B20" s="4" t="inlineStr">
        <is>
          <t>Ketomac Shampoo 100ml</t>
        </is>
      </c>
      <c r="C20" s="4" t="inlineStr">
        <is>
          <t>Dermatology</t>
        </is>
      </c>
      <c r="D20" s="5" t="n">
        <v>220</v>
      </c>
      <c r="E20" s="5" t="n">
        <v>155</v>
      </c>
      <c r="F20" s="3" t="n">
        <v>40</v>
      </c>
      <c r="G20" s="3" t="n">
        <v>64</v>
      </c>
      <c r="H20" s="3" t="n">
        <v>32</v>
      </c>
      <c r="I20" s="3" t="n">
        <v>72</v>
      </c>
      <c r="J20" s="5" t="n">
        <v>7040</v>
      </c>
      <c r="K20" s="4" t="inlineStr">
        <is>
          <t>09/2026</t>
        </is>
      </c>
    </row>
    <row r="21">
      <c r="A21" s="3" t="n">
        <v>18</v>
      </c>
      <c r="B21" s="4" t="inlineStr">
        <is>
          <t>Clobeta GM 10g Cream</t>
        </is>
      </c>
      <c r="C21" s="4" t="inlineStr">
        <is>
          <t>Dermatology</t>
        </is>
      </c>
      <c r="D21" s="5" t="n">
        <v>85</v>
      </c>
      <c r="E21" s="5" t="n">
        <v>58</v>
      </c>
      <c r="F21" s="3" t="n">
        <v>82</v>
      </c>
      <c r="G21" s="3" t="n">
        <v>41</v>
      </c>
      <c r="H21" s="3" t="n">
        <v>20</v>
      </c>
      <c r="I21" s="3" t="n">
        <v>103</v>
      </c>
      <c r="J21" s="5" t="n">
        <v>1700</v>
      </c>
      <c r="K21" s="4" t="inlineStr">
        <is>
          <t>02/2026</t>
        </is>
      </c>
    </row>
    <row r="22">
      <c r="A22" s="3" t="n">
        <v>19</v>
      </c>
      <c r="B22" s="4" t="inlineStr">
        <is>
          <t>Montas FX Tab</t>
        </is>
      </c>
      <c r="C22" s="4" t="inlineStr">
        <is>
          <t>Respiratory / Allergy</t>
        </is>
      </c>
      <c r="D22" s="5" t="n">
        <v>210</v>
      </c>
      <c r="E22" s="5" t="n">
        <v>148</v>
      </c>
      <c r="F22" s="3" t="n">
        <v>34</v>
      </c>
      <c r="G22" s="3" t="n">
        <v>29</v>
      </c>
      <c r="H22" s="3" t="n">
        <v>48</v>
      </c>
      <c r="I22" s="3" t="n">
        <v>15</v>
      </c>
      <c r="J22" s="5" t="n">
        <v>10080</v>
      </c>
      <c r="K22" s="4" t="inlineStr">
        <is>
          <t>10/2026</t>
        </is>
      </c>
    </row>
    <row r="23">
      <c r="A23" s="3" t="n">
        <v>20</v>
      </c>
      <c r="B23" s="4" t="inlineStr">
        <is>
          <t>Intapeptin Syrup 60ml</t>
        </is>
      </c>
      <c r="C23" s="4" t="inlineStr">
        <is>
          <t>Pediatric Care</t>
        </is>
      </c>
      <c r="D23" s="5" t="n">
        <v>110</v>
      </c>
      <c r="E23" s="5" t="n">
        <v>76</v>
      </c>
      <c r="F23" s="3" t="n">
        <v>78</v>
      </c>
      <c r="G23" s="3" t="n">
        <v>26</v>
      </c>
      <c r="H23" s="3" t="n">
        <v>45</v>
      </c>
      <c r="I23" s="3" t="n">
        <v>59</v>
      </c>
      <c r="J23" s="5" t="n">
        <v>4950</v>
      </c>
      <c r="K23" s="4" t="inlineStr">
        <is>
          <t>06/2026</t>
        </is>
      </c>
    </row>
    <row r="24">
      <c r="A24" s="3" t="n">
        <v>21</v>
      </c>
      <c r="B24" s="4" t="inlineStr">
        <is>
          <t>Sicflox CX Tab</t>
        </is>
      </c>
      <c r="C24" s="4" t="inlineStr">
        <is>
          <t>Antibiotic</t>
        </is>
      </c>
      <c r="D24" s="5" t="n">
        <v>135</v>
      </c>
      <c r="E24" s="5" t="n">
        <v>92</v>
      </c>
      <c r="F24" s="3" t="n">
        <v>25</v>
      </c>
      <c r="G24" s="3" t="n">
        <v>35</v>
      </c>
      <c r="H24" s="3" t="n">
        <v>31</v>
      </c>
      <c r="I24" s="3" t="n">
        <v>29</v>
      </c>
      <c r="J24" s="5" t="n">
        <v>4185</v>
      </c>
      <c r="K24" s="4" t="inlineStr">
        <is>
          <t>05/2026</t>
        </is>
      </c>
    </row>
    <row r="25">
      <c r="A25" s="3" t="n">
        <v>22</v>
      </c>
      <c r="B25" s="4" t="inlineStr">
        <is>
          <t>Motinor LC Syrup 60ml</t>
        </is>
      </c>
      <c r="C25" s="4" t="inlineStr">
        <is>
          <t>Pediatric Care</t>
        </is>
      </c>
      <c r="D25" s="5" t="n">
        <v>95</v>
      </c>
      <c r="E25" s="5" t="n">
        <v>65</v>
      </c>
      <c r="F25" s="3" t="n">
        <v>52</v>
      </c>
      <c r="G25" s="3" t="n">
        <v>61</v>
      </c>
      <c r="H25" s="3" t="n">
        <v>37</v>
      </c>
      <c r="I25" s="3" t="n">
        <v>76</v>
      </c>
      <c r="J25" s="5" t="n">
        <v>3515</v>
      </c>
      <c r="K25" s="4" t="inlineStr">
        <is>
          <t>11/2026</t>
        </is>
      </c>
    </row>
    <row r="26">
      <c r="A26" s="3" t="n">
        <v>23</v>
      </c>
      <c r="B26" s="4" t="inlineStr">
        <is>
          <t>Itra-Albert 200mg Cap</t>
        </is>
      </c>
      <c r="C26" s="4" t="inlineStr">
        <is>
          <t>Antifungal</t>
        </is>
      </c>
      <c r="D26" s="5" t="n">
        <v>225</v>
      </c>
      <c r="E26" s="5" t="n">
        <v>160</v>
      </c>
      <c r="F26" s="3" t="n">
        <v>37</v>
      </c>
      <c r="G26" s="3" t="n">
        <v>34</v>
      </c>
      <c r="H26" s="3" t="n">
        <v>49</v>
      </c>
      <c r="I26" s="3" t="n">
        <v>22</v>
      </c>
      <c r="J26" s="5" t="n">
        <v>11025</v>
      </c>
      <c r="K26" s="4" t="inlineStr">
        <is>
          <t>04/2026</t>
        </is>
      </c>
    </row>
    <row r="27">
      <c r="A27" s="3" t="n">
        <v>24</v>
      </c>
      <c r="B27" s="4" t="inlineStr">
        <is>
          <t>Alamin Plus Cap</t>
        </is>
      </c>
      <c r="C27" s="4" t="inlineStr">
        <is>
          <t>Protein / Supplement</t>
        </is>
      </c>
      <c r="D27" s="5" t="n">
        <v>131</v>
      </c>
      <c r="E27" s="5" t="n">
        <v>90</v>
      </c>
      <c r="F27" s="3" t="n">
        <v>45</v>
      </c>
      <c r="G27" s="3" t="n">
        <v>31</v>
      </c>
      <c r="H27" s="3" t="n">
        <v>27</v>
      </c>
      <c r="I27" s="3" t="n">
        <v>49</v>
      </c>
      <c r="J27" s="5" t="n">
        <v>3537</v>
      </c>
      <c r="K27" s="4" t="inlineStr">
        <is>
          <t>01/2026</t>
        </is>
      </c>
    </row>
    <row r="28">
      <c r="A28" s="3" t="n">
        <v>25</v>
      </c>
      <c r="B28" s="4" t="inlineStr">
        <is>
          <t>Patobert 40 Tab</t>
        </is>
      </c>
      <c r="C28" s="4" t="inlineStr">
        <is>
          <t>Gastric Care</t>
        </is>
      </c>
      <c r="D28" s="5" t="n">
        <v>110</v>
      </c>
      <c r="E28" s="5" t="n">
        <v>75</v>
      </c>
      <c r="F28" s="3" t="n">
        <v>49</v>
      </c>
      <c r="G28" s="3" t="n">
        <v>48</v>
      </c>
      <c r="H28" s="3" t="n">
        <v>52</v>
      </c>
      <c r="I28" s="3" t="n">
        <v>45</v>
      </c>
      <c r="J28" s="5" t="n">
        <v>5720</v>
      </c>
      <c r="K28" s="4" t="inlineStr">
        <is>
          <t>12/2026</t>
        </is>
      </c>
    </row>
    <row r="29">
      <c r="A29" s="3" t="n">
        <v>26</v>
      </c>
      <c r="B29" s="4" t="inlineStr">
        <is>
          <t>Mahanac Tab</t>
        </is>
      </c>
      <c r="C29" s="4" t="inlineStr">
        <is>
          <t>Pain Relief</t>
        </is>
      </c>
      <c r="D29" s="5" t="n">
        <v>72</v>
      </c>
      <c r="E29" s="5" t="n">
        <v>48</v>
      </c>
      <c r="F29" s="3" t="n">
        <v>29</v>
      </c>
      <c r="G29" s="3" t="n">
        <v>32</v>
      </c>
      <c r="H29" s="3" t="n">
        <v>23</v>
      </c>
      <c r="I29" s="3" t="n">
        <v>38</v>
      </c>
      <c r="J29" s="5" t="n">
        <v>1656</v>
      </c>
      <c r="K29" s="4" t="inlineStr">
        <is>
          <t>08/2026</t>
        </is>
      </c>
    </row>
    <row r="30">
      <c r="A30" s="3" t="n">
        <v>27</v>
      </c>
      <c r="B30" s="4" t="inlineStr">
        <is>
          <t>Rabalkem DSR Cap</t>
        </is>
      </c>
      <c r="C30" s="4" t="inlineStr">
        <is>
          <t>Gastric Care</t>
        </is>
      </c>
      <c r="D30" s="5" t="n">
        <v>183</v>
      </c>
      <c r="E30" s="5" t="n">
        <v>128</v>
      </c>
      <c r="F30" s="3" t="n">
        <v>90</v>
      </c>
      <c r="G30" s="3" t="n">
        <v>76</v>
      </c>
      <c r="H30" s="3" t="n">
        <v>48</v>
      </c>
      <c r="I30" s="3" t="n">
        <v>118</v>
      </c>
      <c r="J30" s="5" t="n">
        <v>8784</v>
      </c>
      <c r="K30" s="4" t="inlineStr">
        <is>
          <t>08/2026</t>
        </is>
      </c>
    </row>
    <row r="31">
      <c r="A31" s="3" t="n">
        <v>28</v>
      </c>
      <c r="B31" s="4" t="inlineStr">
        <is>
          <t>Chyawanprash 500g</t>
        </is>
      </c>
      <c r="C31" s="4" t="inlineStr">
        <is>
          <t>Ayurvedic</t>
        </is>
      </c>
      <c r="D31" s="5" t="n">
        <v>210</v>
      </c>
      <c r="E31" s="5" t="n">
        <v>150</v>
      </c>
      <c r="F31" s="3" t="n">
        <v>38</v>
      </c>
      <c r="G31" s="3" t="n">
        <v>57</v>
      </c>
      <c r="H31" s="3" t="n">
        <v>29</v>
      </c>
      <c r="I31" s="3" t="n">
        <v>66</v>
      </c>
      <c r="J31" s="5" t="n">
        <v>6090</v>
      </c>
      <c r="K31" s="4" t="inlineStr">
        <is>
          <t>09/2026</t>
        </is>
      </c>
    </row>
    <row r="32">
      <c r="A32" s="3" t="n">
        <v>29</v>
      </c>
      <c r="B32" s="4" t="inlineStr">
        <is>
          <t>Gentalab 30ml Inj</t>
        </is>
      </c>
      <c r="C32" s="4" t="inlineStr">
        <is>
          <t>Injectable</t>
        </is>
      </c>
      <c r="D32" s="5" t="n">
        <v>45</v>
      </c>
      <c r="E32" s="5" t="n">
        <v>28</v>
      </c>
      <c r="F32" s="3" t="n">
        <v>26</v>
      </c>
      <c r="G32" s="3" t="n">
        <v>41</v>
      </c>
      <c r="H32" s="3" t="n">
        <v>48</v>
      </c>
      <c r="I32" s="3" t="n">
        <v>19</v>
      </c>
      <c r="J32" s="5" t="n">
        <v>2160</v>
      </c>
      <c r="K32" s="4" t="inlineStr">
        <is>
          <t>03/2026</t>
        </is>
      </c>
    </row>
    <row r="33">
      <c r="A33" s="3" t="n">
        <v>30</v>
      </c>
      <c r="B33" s="4" t="inlineStr">
        <is>
          <t>Moxib D Eye Drop</t>
        </is>
      </c>
      <c r="C33" s="4" t="inlineStr">
        <is>
          <t>Eye Care</t>
        </is>
      </c>
      <c r="D33" s="5" t="n">
        <v>110</v>
      </c>
      <c r="E33" s="5" t="n">
        <v>78</v>
      </c>
      <c r="F33" s="3" t="n">
        <v>41</v>
      </c>
      <c r="G33" s="3" t="n">
        <v>56</v>
      </c>
      <c r="H33" s="3" t="n">
        <v>47</v>
      </c>
      <c r="I33" s="3" t="n">
        <v>50</v>
      </c>
      <c r="J33" s="5" t="n">
        <v>5170</v>
      </c>
      <c r="K33" s="4" t="inlineStr">
        <is>
          <t>06/2026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Inventory &amp; Sales Register (Apr 2026)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Price (₹)</t>
        </is>
      </c>
      <c r="F3" s="2" t="inlineStr">
        <is>
          <t>Opening Stock</t>
        </is>
      </c>
      <c r="G3" s="2" t="inlineStr">
        <is>
          <t>Purchase Qty</t>
        </is>
      </c>
      <c r="H3" s="2" t="inlineStr">
        <is>
          <t>Sales Qty</t>
        </is>
      </c>
      <c r="I3" s="2" t="inlineStr">
        <is>
          <t>Closing Stock</t>
        </is>
      </c>
      <c r="J3" s="2" t="inlineStr">
        <is>
          <t>Total Sales Revenue (₹)</t>
        </is>
      </c>
      <c r="K3" s="2" t="inlineStr">
        <is>
          <t>Expiry Date</t>
        </is>
      </c>
    </row>
    <row r="4">
      <c r="A4" s="3" t="n">
        <v>1</v>
      </c>
      <c r="B4" s="4" t="inlineStr">
        <is>
          <t>Rabitec DSR Cap</t>
        </is>
      </c>
      <c r="C4" s="4" t="inlineStr">
        <is>
          <t>Gastric Care</t>
        </is>
      </c>
      <c r="D4" s="5" t="n">
        <v>185</v>
      </c>
      <c r="E4" s="5" t="n">
        <v>130</v>
      </c>
      <c r="F4" s="3" t="n">
        <v>41</v>
      </c>
      <c r="G4" s="3" t="n">
        <v>27</v>
      </c>
      <c r="H4" s="3" t="n">
        <v>45</v>
      </c>
      <c r="I4" s="3" t="n">
        <v>23</v>
      </c>
      <c r="J4" s="5" t="n">
        <v>8325</v>
      </c>
      <c r="K4" s="4" t="inlineStr">
        <is>
          <t>08/2026</t>
        </is>
      </c>
    </row>
    <row r="5">
      <c r="A5" s="3" t="n">
        <v>2</v>
      </c>
      <c r="B5" s="4" t="inlineStr">
        <is>
          <t>Montas L Tab (10s)</t>
        </is>
      </c>
      <c r="C5" s="4" t="inlineStr">
        <is>
          <t>Respiratory / Cold</t>
        </is>
      </c>
      <c r="D5" s="5" t="n">
        <v>165</v>
      </c>
      <c r="E5" s="5" t="n">
        <v>115</v>
      </c>
      <c r="F5" s="3" t="n">
        <v>30</v>
      </c>
      <c r="G5" s="3" t="n">
        <v>48</v>
      </c>
      <c r="H5" s="3" t="n">
        <v>22</v>
      </c>
      <c r="I5" s="3" t="n">
        <v>56</v>
      </c>
      <c r="J5" s="5" t="n">
        <v>3630</v>
      </c>
      <c r="K5" s="4" t="inlineStr">
        <is>
          <t>05/2026</t>
        </is>
      </c>
    </row>
    <row r="6">
      <c r="A6" s="3" t="n">
        <v>3</v>
      </c>
      <c r="B6" s="4" t="inlineStr">
        <is>
          <t>Calbert K27 Cap</t>
        </is>
      </c>
      <c r="C6" s="4" t="inlineStr">
        <is>
          <t>Calcium / Supplement</t>
        </is>
      </c>
      <c r="D6" s="5" t="n">
        <v>247</v>
      </c>
      <c r="E6" s="5" t="n">
        <v>175</v>
      </c>
      <c r="F6" s="3" t="n">
        <v>36</v>
      </c>
      <c r="G6" s="3" t="n">
        <v>37</v>
      </c>
      <c r="H6" s="3" t="n">
        <v>54</v>
      </c>
      <c r="I6" s="3" t="n">
        <v>19</v>
      </c>
      <c r="J6" s="5" t="n">
        <v>13338</v>
      </c>
      <c r="K6" s="4" t="inlineStr">
        <is>
          <t>03/2026</t>
        </is>
      </c>
    </row>
    <row r="7">
      <c r="A7" s="3" t="n">
        <v>4</v>
      </c>
      <c r="B7" s="4" t="inlineStr">
        <is>
          <t>Ceroxim CV 500 Tab</t>
        </is>
      </c>
      <c r="C7" s="4" t="inlineStr">
        <is>
          <t>Antibiotic</t>
        </is>
      </c>
      <c r="D7" s="5" t="n">
        <v>480</v>
      </c>
      <c r="E7" s="5" t="n">
        <v>340</v>
      </c>
      <c r="F7" s="3" t="n">
        <v>42</v>
      </c>
      <c r="G7" s="3" t="n">
        <v>64</v>
      </c>
      <c r="H7" s="3" t="n">
        <v>40</v>
      </c>
      <c r="I7" s="3" t="n">
        <v>66</v>
      </c>
      <c r="J7" s="5" t="n">
        <v>19200</v>
      </c>
      <c r="K7" s="4" t="inlineStr">
        <is>
          <t>11/2026</t>
        </is>
      </c>
    </row>
    <row r="8">
      <c r="A8" s="3" t="n">
        <v>5</v>
      </c>
      <c r="B8" s="4" t="inlineStr">
        <is>
          <t>Pantobert D Tab</t>
        </is>
      </c>
      <c r="C8" s="4" t="inlineStr">
        <is>
          <t>Gastric Care</t>
        </is>
      </c>
      <c r="D8" s="5" t="n">
        <v>140</v>
      </c>
      <c r="E8" s="5" t="n">
        <v>95</v>
      </c>
      <c r="F8" s="3" t="n">
        <v>39</v>
      </c>
      <c r="G8" s="3" t="n">
        <v>38</v>
      </c>
      <c r="H8" s="3" t="n">
        <v>18</v>
      </c>
      <c r="I8" s="3" t="n">
        <v>59</v>
      </c>
      <c r="J8" s="5" t="n">
        <v>2520</v>
      </c>
      <c r="K8" s="4" t="inlineStr">
        <is>
          <t>09/2026</t>
        </is>
      </c>
    </row>
    <row r="9">
      <c r="A9" s="3" t="n">
        <v>6</v>
      </c>
      <c r="B9" s="4" t="inlineStr">
        <is>
          <t>Moxabert CV 625 Tab</t>
        </is>
      </c>
      <c r="C9" s="4" t="inlineStr">
        <is>
          <t>Antibiotic</t>
        </is>
      </c>
      <c r="D9" s="5" t="n">
        <v>225</v>
      </c>
      <c r="E9" s="5" t="n">
        <v>160</v>
      </c>
      <c r="F9" s="3" t="n">
        <v>32</v>
      </c>
      <c r="G9" s="3" t="n">
        <v>26</v>
      </c>
      <c r="H9" s="3" t="n">
        <v>48</v>
      </c>
      <c r="I9" s="3" t="n">
        <v>10</v>
      </c>
      <c r="J9" s="5" t="n">
        <v>10800</v>
      </c>
      <c r="K9" s="4" t="inlineStr">
        <is>
          <t>10/2026</t>
        </is>
      </c>
    </row>
    <row r="10">
      <c r="A10" s="3" t="n">
        <v>7</v>
      </c>
      <c r="B10" s="4" t="inlineStr">
        <is>
          <t>Chyawanprash 2KG</t>
        </is>
      </c>
      <c r="C10" s="4" t="inlineStr">
        <is>
          <t>Ayurvedic / Immunity</t>
        </is>
      </c>
      <c r="D10" s="5" t="n">
        <v>450</v>
      </c>
      <c r="E10" s="5" t="n">
        <v>330</v>
      </c>
      <c r="F10" s="3" t="n">
        <v>61</v>
      </c>
      <c r="G10" s="3" t="n">
        <v>35</v>
      </c>
      <c r="H10" s="3" t="n">
        <v>34</v>
      </c>
      <c r="I10" s="3" t="n">
        <v>62</v>
      </c>
      <c r="J10" s="5" t="n">
        <v>15300</v>
      </c>
      <c r="K10" s="4" t="inlineStr">
        <is>
          <t>12/2026</t>
        </is>
      </c>
    </row>
    <row r="11">
      <c r="A11" s="3" t="n">
        <v>8</v>
      </c>
      <c r="B11" s="4" t="inlineStr">
        <is>
          <t>Dolo Pain Spray</t>
        </is>
      </c>
      <c r="C11" s="4" t="inlineStr">
        <is>
          <t>Pain Relief</t>
        </is>
      </c>
      <c r="D11" s="5" t="n">
        <v>195</v>
      </c>
      <c r="E11" s="5" t="n">
        <v>140</v>
      </c>
      <c r="F11" s="3" t="n">
        <v>74</v>
      </c>
      <c r="G11" s="3" t="n">
        <v>61</v>
      </c>
      <c r="H11" s="3" t="n">
        <v>25</v>
      </c>
      <c r="I11" s="3" t="n">
        <v>110</v>
      </c>
      <c r="J11" s="5" t="n">
        <v>4875</v>
      </c>
      <c r="K11" s="4" t="inlineStr">
        <is>
          <t>04/2026</t>
        </is>
      </c>
    </row>
    <row r="12">
      <c r="A12" s="3" t="n">
        <v>9</v>
      </c>
      <c r="B12" s="4" t="inlineStr">
        <is>
          <t>Abzolid 600 Tab</t>
        </is>
      </c>
      <c r="C12" s="4" t="inlineStr">
        <is>
          <t>Antibiotic</t>
        </is>
      </c>
      <c r="D12" s="5" t="n">
        <v>406</v>
      </c>
      <c r="E12" s="5" t="n">
        <v>285</v>
      </c>
      <c r="F12" s="3" t="n">
        <v>73</v>
      </c>
      <c r="G12" s="3" t="n">
        <v>29</v>
      </c>
      <c r="H12" s="3" t="n">
        <v>50</v>
      </c>
      <c r="I12" s="3" t="n">
        <v>52</v>
      </c>
      <c r="J12" s="5" t="n">
        <v>20300</v>
      </c>
      <c r="K12" s="4" t="inlineStr">
        <is>
          <t>06/2026</t>
        </is>
      </c>
    </row>
    <row r="13">
      <c r="A13" s="3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3" t="n">
        <v>67</v>
      </c>
      <c r="G13" s="3" t="n">
        <v>64</v>
      </c>
      <c r="H13" s="3" t="n">
        <v>55</v>
      </c>
      <c r="I13" s="3" t="n">
        <v>76</v>
      </c>
      <c r="J13" s="5" t="n">
        <v>10890</v>
      </c>
      <c r="K13" s="4" t="inlineStr">
        <is>
          <t>07/2026</t>
        </is>
      </c>
    </row>
    <row r="14">
      <c r="A14" s="3" t="n">
        <v>11</v>
      </c>
      <c r="B14" s="4" t="inlineStr">
        <is>
          <t>Chymotas Forte Tab</t>
        </is>
      </c>
      <c r="C14" s="4" t="inlineStr">
        <is>
          <t>Pain / Swelling</t>
        </is>
      </c>
      <c r="D14" s="5" t="n">
        <v>370</v>
      </c>
      <c r="E14" s="5" t="n">
        <v>260</v>
      </c>
      <c r="F14" s="3" t="n">
        <v>55</v>
      </c>
      <c r="G14" s="3" t="n">
        <v>39</v>
      </c>
      <c r="H14" s="3" t="n">
        <v>17</v>
      </c>
      <c r="I14" s="3" t="n">
        <v>77</v>
      </c>
      <c r="J14" s="5" t="n">
        <v>6290</v>
      </c>
      <c r="K14" s="4" t="inlineStr">
        <is>
          <t>05/2026</t>
        </is>
      </c>
    </row>
    <row r="15">
      <c r="A15" s="3" t="n">
        <v>12</v>
      </c>
      <c r="B15" s="4" t="inlineStr">
        <is>
          <t>Skinshine Ointment 30g</t>
        </is>
      </c>
      <c r="C15" s="4" t="inlineStr">
        <is>
          <t>Dermatology</t>
        </is>
      </c>
      <c r="D15" s="5" t="n">
        <v>149</v>
      </c>
      <c r="E15" s="5" t="n">
        <v>105</v>
      </c>
      <c r="F15" s="3" t="n">
        <v>55</v>
      </c>
      <c r="G15" s="3" t="n">
        <v>50</v>
      </c>
      <c r="H15" s="3" t="n">
        <v>39</v>
      </c>
      <c r="I15" s="3" t="n">
        <v>66</v>
      </c>
      <c r="J15" s="5" t="n">
        <v>5811</v>
      </c>
      <c r="K15" s="4" t="inlineStr">
        <is>
          <t>03/2026</t>
        </is>
      </c>
    </row>
    <row r="16">
      <c r="A16" s="3" t="n">
        <v>13</v>
      </c>
      <c r="B16" s="4" t="inlineStr">
        <is>
          <t>Dexalife Inj 30ml</t>
        </is>
      </c>
      <c r="C16" s="4" t="inlineStr">
        <is>
          <t>Injectable</t>
        </is>
      </c>
      <c r="D16" s="5" t="n">
        <v>73</v>
      </c>
      <c r="E16" s="5" t="n">
        <v>48</v>
      </c>
      <c r="F16" s="3" t="n">
        <v>50</v>
      </c>
      <c r="G16" s="3" t="n">
        <v>46</v>
      </c>
      <c r="H16" s="3" t="n">
        <v>30</v>
      </c>
      <c r="I16" s="3" t="n">
        <v>66</v>
      </c>
      <c r="J16" s="5" t="n">
        <v>2190</v>
      </c>
      <c r="K16" s="4" t="inlineStr">
        <is>
          <t>04/2026</t>
        </is>
      </c>
    </row>
    <row r="17">
      <c r="A17" s="3" t="n">
        <v>14</v>
      </c>
      <c r="B17" s="4" t="inlineStr">
        <is>
          <t>Moxeb Eye Drop</t>
        </is>
      </c>
      <c r="C17" s="4" t="inlineStr">
        <is>
          <t>Eye Care</t>
        </is>
      </c>
      <c r="D17" s="5" t="n">
        <v>90</v>
      </c>
      <c r="E17" s="5" t="n">
        <v>62</v>
      </c>
      <c r="F17" s="3" t="n">
        <v>46</v>
      </c>
      <c r="G17" s="3" t="n">
        <v>51</v>
      </c>
      <c r="H17" s="3" t="n">
        <v>24</v>
      </c>
      <c r="I17" s="3" t="n">
        <v>73</v>
      </c>
      <c r="J17" s="5" t="n">
        <v>2160</v>
      </c>
      <c r="K17" s="4" t="inlineStr">
        <is>
          <t>07/2026</t>
        </is>
      </c>
    </row>
    <row r="18">
      <c r="A18" s="3" t="n">
        <v>15</v>
      </c>
      <c r="B18" s="4" t="inlineStr">
        <is>
          <t>Lycozen Cap</t>
        </is>
      </c>
      <c r="C18" s="4" t="inlineStr">
        <is>
          <t>Multivitamin</t>
        </is>
      </c>
      <c r="D18" s="5" t="n">
        <v>175</v>
      </c>
      <c r="E18" s="5" t="n">
        <v>120</v>
      </c>
      <c r="F18" s="3" t="n">
        <v>87</v>
      </c>
      <c r="G18" s="3" t="n">
        <v>79</v>
      </c>
      <c r="H18" s="3" t="n">
        <v>43</v>
      </c>
      <c r="I18" s="3" t="n">
        <v>123</v>
      </c>
      <c r="J18" s="5" t="n">
        <v>7525</v>
      </c>
      <c r="K18" s="4" t="inlineStr">
        <is>
          <t>01/2026</t>
        </is>
      </c>
    </row>
    <row r="19">
      <c r="A19" s="3" t="n">
        <v>16</v>
      </c>
      <c r="B19" s="4" t="inlineStr">
        <is>
          <t>Deca-Intabolin 50mg Inj</t>
        </is>
      </c>
      <c r="C19" s="4" t="inlineStr">
        <is>
          <t>Steroid / Inj</t>
        </is>
      </c>
      <c r="D19" s="5" t="n">
        <v>280</v>
      </c>
      <c r="E19" s="5" t="n">
        <v>195</v>
      </c>
      <c r="F19" s="3" t="n">
        <v>60</v>
      </c>
      <c r="G19" s="3" t="n">
        <v>68</v>
      </c>
      <c r="H19" s="3" t="n">
        <v>27</v>
      </c>
      <c r="I19" s="3" t="n">
        <v>101</v>
      </c>
      <c r="J19" s="5" t="n">
        <v>7560</v>
      </c>
      <c r="K19" s="4" t="inlineStr">
        <is>
          <t>08/2026</t>
        </is>
      </c>
    </row>
    <row r="20">
      <c r="A20" s="3" t="n">
        <v>17</v>
      </c>
      <c r="B20" s="4" t="inlineStr">
        <is>
          <t>Ketomac Shampoo 100ml</t>
        </is>
      </c>
      <c r="C20" s="4" t="inlineStr">
        <is>
          <t>Dermatology</t>
        </is>
      </c>
      <c r="D20" s="5" t="n">
        <v>220</v>
      </c>
      <c r="E20" s="5" t="n">
        <v>155</v>
      </c>
      <c r="F20" s="3" t="n">
        <v>49</v>
      </c>
      <c r="G20" s="3" t="n">
        <v>41</v>
      </c>
      <c r="H20" s="3" t="n">
        <v>16</v>
      </c>
      <c r="I20" s="3" t="n">
        <v>74</v>
      </c>
      <c r="J20" s="5" t="n">
        <v>3520</v>
      </c>
      <c r="K20" s="4" t="inlineStr">
        <is>
          <t>09/2026</t>
        </is>
      </c>
    </row>
    <row r="21">
      <c r="A21" s="3" t="n">
        <v>18</v>
      </c>
      <c r="B21" s="4" t="inlineStr">
        <is>
          <t>Clobeta GM 10g Cream</t>
        </is>
      </c>
      <c r="C21" s="4" t="inlineStr">
        <is>
          <t>Dermatology</t>
        </is>
      </c>
      <c r="D21" s="5" t="n">
        <v>85</v>
      </c>
      <c r="E21" s="5" t="n">
        <v>58</v>
      </c>
      <c r="F21" s="3" t="n">
        <v>53</v>
      </c>
      <c r="G21" s="3" t="n">
        <v>39</v>
      </c>
      <c r="H21" s="3" t="n">
        <v>17</v>
      </c>
      <c r="I21" s="3" t="n">
        <v>75</v>
      </c>
      <c r="J21" s="5" t="n">
        <v>1445</v>
      </c>
      <c r="K21" s="4" t="inlineStr">
        <is>
          <t>02/2026</t>
        </is>
      </c>
    </row>
    <row r="22">
      <c r="A22" s="3" t="n">
        <v>19</v>
      </c>
      <c r="B22" s="4" t="inlineStr">
        <is>
          <t>Montas FX Tab</t>
        </is>
      </c>
      <c r="C22" s="4" t="inlineStr">
        <is>
          <t>Respiratory / Allergy</t>
        </is>
      </c>
      <c r="D22" s="5" t="n">
        <v>210</v>
      </c>
      <c r="E22" s="5" t="n">
        <v>148</v>
      </c>
      <c r="F22" s="3" t="n">
        <v>58</v>
      </c>
      <c r="G22" s="3" t="n">
        <v>22</v>
      </c>
      <c r="H22" s="3" t="n">
        <v>48</v>
      </c>
      <c r="I22" s="3" t="n">
        <v>32</v>
      </c>
      <c r="J22" s="5" t="n">
        <v>10080</v>
      </c>
      <c r="K22" s="4" t="inlineStr">
        <is>
          <t>10/2026</t>
        </is>
      </c>
    </row>
    <row r="23">
      <c r="A23" s="3" t="n">
        <v>20</v>
      </c>
      <c r="B23" s="4" t="inlineStr">
        <is>
          <t>Intapeptin Syrup 60ml</t>
        </is>
      </c>
      <c r="C23" s="4" t="inlineStr">
        <is>
          <t>Pediatric Care</t>
        </is>
      </c>
      <c r="D23" s="5" t="n">
        <v>110</v>
      </c>
      <c r="E23" s="5" t="n">
        <v>76</v>
      </c>
      <c r="F23" s="3" t="n">
        <v>41</v>
      </c>
      <c r="G23" s="3" t="n">
        <v>36</v>
      </c>
      <c r="H23" s="3" t="n">
        <v>39</v>
      </c>
      <c r="I23" s="3" t="n">
        <v>38</v>
      </c>
      <c r="J23" s="5" t="n">
        <v>4290</v>
      </c>
      <c r="K23" s="4" t="inlineStr">
        <is>
          <t>06/2026</t>
        </is>
      </c>
    </row>
    <row r="24">
      <c r="A24" s="3" t="n">
        <v>21</v>
      </c>
      <c r="B24" s="4" t="inlineStr">
        <is>
          <t>Sicflox CX Tab</t>
        </is>
      </c>
      <c r="C24" s="4" t="inlineStr">
        <is>
          <t>Antibiotic</t>
        </is>
      </c>
      <c r="D24" s="5" t="n">
        <v>135</v>
      </c>
      <c r="E24" s="5" t="n">
        <v>92</v>
      </c>
      <c r="F24" s="3" t="n">
        <v>72</v>
      </c>
      <c r="G24" s="3" t="n">
        <v>69</v>
      </c>
      <c r="H24" s="3" t="n">
        <v>52</v>
      </c>
      <c r="I24" s="3" t="n">
        <v>89</v>
      </c>
      <c r="J24" s="5" t="n">
        <v>7020</v>
      </c>
      <c r="K24" s="4" t="inlineStr">
        <is>
          <t>05/2026</t>
        </is>
      </c>
    </row>
    <row r="25">
      <c r="A25" s="3" t="n">
        <v>22</v>
      </c>
      <c r="B25" s="4" t="inlineStr">
        <is>
          <t>Motinor LC Syrup 60ml</t>
        </is>
      </c>
      <c r="C25" s="4" t="inlineStr">
        <is>
          <t>Pediatric Care</t>
        </is>
      </c>
      <c r="D25" s="5" t="n">
        <v>95</v>
      </c>
      <c r="E25" s="5" t="n">
        <v>65</v>
      </c>
      <c r="F25" s="3" t="n">
        <v>58</v>
      </c>
      <c r="G25" s="3" t="n">
        <v>74</v>
      </c>
      <c r="H25" s="3" t="n">
        <v>44</v>
      </c>
      <c r="I25" s="3" t="n">
        <v>88</v>
      </c>
      <c r="J25" s="5" t="n">
        <v>4180</v>
      </c>
      <c r="K25" s="4" t="inlineStr">
        <is>
          <t>11/2026</t>
        </is>
      </c>
    </row>
    <row r="26">
      <c r="A26" s="3" t="n">
        <v>23</v>
      </c>
      <c r="B26" s="4" t="inlineStr">
        <is>
          <t>Itra-Albert 200mg Cap</t>
        </is>
      </c>
      <c r="C26" s="4" t="inlineStr">
        <is>
          <t>Antifungal</t>
        </is>
      </c>
      <c r="D26" s="5" t="n">
        <v>225</v>
      </c>
      <c r="E26" s="5" t="n">
        <v>160</v>
      </c>
      <c r="F26" s="3" t="n">
        <v>83</v>
      </c>
      <c r="G26" s="3" t="n">
        <v>62</v>
      </c>
      <c r="H26" s="3" t="n">
        <v>18</v>
      </c>
      <c r="I26" s="3" t="n">
        <v>127</v>
      </c>
      <c r="J26" s="5" t="n">
        <v>4050</v>
      </c>
      <c r="K26" s="4" t="inlineStr">
        <is>
          <t>04/2026</t>
        </is>
      </c>
    </row>
    <row r="27">
      <c r="A27" s="3" t="n">
        <v>24</v>
      </c>
      <c r="B27" s="4" t="inlineStr">
        <is>
          <t>Alamin Plus Cap</t>
        </is>
      </c>
      <c r="C27" s="4" t="inlineStr">
        <is>
          <t>Protein / Supplement</t>
        </is>
      </c>
      <c r="D27" s="5" t="n">
        <v>131</v>
      </c>
      <c r="E27" s="5" t="n">
        <v>90</v>
      </c>
      <c r="F27" s="3" t="n">
        <v>36</v>
      </c>
      <c r="G27" s="3" t="n">
        <v>31</v>
      </c>
      <c r="H27" s="3" t="n">
        <v>34</v>
      </c>
      <c r="I27" s="3" t="n">
        <v>33</v>
      </c>
      <c r="J27" s="5" t="n">
        <v>4454</v>
      </c>
      <c r="K27" s="4" t="inlineStr">
        <is>
          <t>01/2026</t>
        </is>
      </c>
    </row>
    <row r="28">
      <c r="A28" s="3" t="n">
        <v>25</v>
      </c>
      <c r="B28" s="4" t="inlineStr">
        <is>
          <t>Patobert 40 Tab</t>
        </is>
      </c>
      <c r="C28" s="4" t="inlineStr">
        <is>
          <t>Gastric Care</t>
        </is>
      </c>
      <c r="D28" s="5" t="n">
        <v>110</v>
      </c>
      <c r="E28" s="5" t="n">
        <v>75</v>
      </c>
      <c r="F28" s="3" t="n">
        <v>72</v>
      </c>
      <c r="G28" s="3" t="n">
        <v>50</v>
      </c>
      <c r="H28" s="3" t="n">
        <v>16</v>
      </c>
      <c r="I28" s="3" t="n">
        <v>106</v>
      </c>
      <c r="J28" s="5" t="n">
        <v>1760</v>
      </c>
      <c r="K28" s="4" t="inlineStr">
        <is>
          <t>12/2026</t>
        </is>
      </c>
    </row>
    <row r="29">
      <c r="A29" s="3" t="n">
        <v>26</v>
      </c>
      <c r="B29" s="4" t="inlineStr">
        <is>
          <t>Mahanac Tab</t>
        </is>
      </c>
      <c r="C29" s="4" t="inlineStr">
        <is>
          <t>Pain Relief</t>
        </is>
      </c>
      <c r="D29" s="5" t="n">
        <v>72</v>
      </c>
      <c r="E29" s="5" t="n">
        <v>48</v>
      </c>
      <c r="F29" s="3" t="n">
        <v>74</v>
      </c>
      <c r="G29" s="3" t="n">
        <v>22</v>
      </c>
      <c r="H29" s="3" t="n">
        <v>17</v>
      </c>
      <c r="I29" s="3" t="n">
        <v>79</v>
      </c>
      <c r="J29" s="5" t="n">
        <v>1224</v>
      </c>
      <c r="K29" s="4" t="inlineStr">
        <is>
          <t>08/2026</t>
        </is>
      </c>
    </row>
    <row r="30">
      <c r="A30" s="3" t="n">
        <v>27</v>
      </c>
      <c r="B30" s="4" t="inlineStr">
        <is>
          <t>Rabalkem DSR Cap</t>
        </is>
      </c>
      <c r="C30" s="4" t="inlineStr">
        <is>
          <t>Gastric Care</t>
        </is>
      </c>
      <c r="D30" s="5" t="n">
        <v>183</v>
      </c>
      <c r="E30" s="5" t="n">
        <v>128</v>
      </c>
      <c r="F30" s="3" t="n">
        <v>32</v>
      </c>
      <c r="G30" s="3" t="n">
        <v>34</v>
      </c>
      <c r="H30" s="3" t="n">
        <v>37</v>
      </c>
      <c r="I30" s="3" t="n">
        <v>29</v>
      </c>
      <c r="J30" s="5" t="n">
        <v>6771</v>
      </c>
      <c r="K30" s="4" t="inlineStr">
        <is>
          <t>08/2026</t>
        </is>
      </c>
    </row>
    <row r="31">
      <c r="A31" s="3" t="n">
        <v>28</v>
      </c>
      <c r="B31" s="4" t="inlineStr">
        <is>
          <t>Chyawanprash 500g</t>
        </is>
      </c>
      <c r="C31" s="4" t="inlineStr">
        <is>
          <t>Ayurvedic</t>
        </is>
      </c>
      <c r="D31" s="5" t="n">
        <v>210</v>
      </c>
      <c r="E31" s="5" t="n">
        <v>150</v>
      </c>
      <c r="F31" s="3" t="n">
        <v>73</v>
      </c>
      <c r="G31" s="3" t="n">
        <v>28</v>
      </c>
      <c r="H31" s="3" t="n">
        <v>15</v>
      </c>
      <c r="I31" s="3" t="n">
        <v>86</v>
      </c>
      <c r="J31" s="5" t="n">
        <v>3150</v>
      </c>
      <c r="K31" s="4" t="inlineStr">
        <is>
          <t>09/2026</t>
        </is>
      </c>
    </row>
    <row r="32">
      <c r="A32" s="3" t="n">
        <v>29</v>
      </c>
      <c r="B32" s="4" t="inlineStr">
        <is>
          <t>Gentalab 30ml Inj</t>
        </is>
      </c>
      <c r="C32" s="4" t="inlineStr">
        <is>
          <t>Injectable</t>
        </is>
      </c>
      <c r="D32" s="5" t="n">
        <v>45</v>
      </c>
      <c r="E32" s="5" t="n">
        <v>28</v>
      </c>
      <c r="F32" s="3" t="n">
        <v>75</v>
      </c>
      <c r="G32" s="3" t="n">
        <v>73</v>
      </c>
      <c r="H32" s="3" t="n">
        <v>46</v>
      </c>
      <c r="I32" s="3" t="n">
        <v>102</v>
      </c>
      <c r="J32" s="5" t="n">
        <v>2070</v>
      </c>
      <c r="K32" s="4" t="inlineStr">
        <is>
          <t>03/2026</t>
        </is>
      </c>
    </row>
    <row r="33">
      <c r="A33" s="3" t="n">
        <v>30</v>
      </c>
      <c r="B33" s="4" t="inlineStr">
        <is>
          <t>Moxib D Eye Drop</t>
        </is>
      </c>
      <c r="C33" s="4" t="inlineStr">
        <is>
          <t>Eye Care</t>
        </is>
      </c>
      <c r="D33" s="5" t="n">
        <v>110</v>
      </c>
      <c r="E33" s="5" t="n">
        <v>78</v>
      </c>
      <c r="F33" s="3" t="n">
        <v>48</v>
      </c>
      <c r="G33" s="3" t="n">
        <v>46</v>
      </c>
      <c r="H33" s="3" t="n">
        <v>21</v>
      </c>
      <c r="I33" s="3" t="n">
        <v>73</v>
      </c>
      <c r="J33" s="5" t="n">
        <v>2310</v>
      </c>
      <c r="K33" s="4" t="inlineStr">
        <is>
          <t>06/2026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Inventory &amp; Sales Register (May 2026)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Price (₹)</t>
        </is>
      </c>
      <c r="F3" s="2" t="inlineStr">
        <is>
          <t>Opening Stock</t>
        </is>
      </c>
      <c r="G3" s="2" t="inlineStr">
        <is>
          <t>Purchase Qty</t>
        </is>
      </c>
      <c r="H3" s="2" t="inlineStr">
        <is>
          <t>Sales Qty</t>
        </is>
      </c>
      <c r="I3" s="2" t="inlineStr">
        <is>
          <t>Closing Stock</t>
        </is>
      </c>
      <c r="J3" s="2" t="inlineStr">
        <is>
          <t>Total Sales Revenue (₹)</t>
        </is>
      </c>
      <c r="K3" s="2" t="inlineStr">
        <is>
          <t>Expiry Date</t>
        </is>
      </c>
    </row>
    <row r="4">
      <c r="A4" s="3" t="n">
        <v>1</v>
      </c>
      <c r="B4" s="4" t="inlineStr">
        <is>
          <t>Rabitec DSR Cap</t>
        </is>
      </c>
      <c r="C4" s="4" t="inlineStr">
        <is>
          <t>Gastric Care</t>
        </is>
      </c>
      <c r="D4" s="5" t="n">
        <v>185</v>
      </c>
      <c r="E4" s="5" t="n">
        <v>130</v>
      </c>
      <c r="F4" s="3" t="n">
        <v>59</v>
      </c>
      <c r="G4" s="3" t="n">
        <v>43</v>
      </c>
      <c r="H4" s="3" t="n">
        <v>60</v>
      </c>
      <c r="I4" s="3" t="n">
        <v>42</v>
      </c>
      <c r="J4" s="5" t="n">
        <v>11100</v>
      </c>
      <c r="K4" s="4" t="inlineStr">
        <is>
          <t>08/2026</t>
        </is>
      </c>
    </row>
    <row r="5">
      <c r="A5" s="3" t="n">
        <v>2</v>
      </c>
      <c r="B5" s="4" t="inlineStr">
        <is>
          <t>Montas L Tab (10s)</t>
        </is>
      </c>
      <c r="C5" s="4" t="inlineStr">
        <is>
          <t>Respiratory / Cold</t>
        </is>
      </c>
      <c r="D5" s="5" t="n">
        <v>165</v>
      </c>
      <c r="E5" s="5" t="n">
        <v>115</v>
      </c>
      <c r="F5" s="3" t="n">
        <v>61</v>
      </c>
      <c r="G5" s="3" t="n">
        <v>74</v>
      </c>
      <c r="H5" s="3" t="n">
        <v>28</v>
      </c>
      <c r="I5" s="3" t="n">
        <v>107</v>
      </c>
      <c r="J5" s="5" t="n">
        <v>4620</v>
      </c>
      <c r="K5" s="4" t="inlineStr">
        <is>
          <t>05/2026</t>
        </is>
      </c>
    </row>
    <row r="6">
      <c r="A6" s="3" t="n">
        <v>3</v>
      </c>
      <c r="B6" s="4" t="inlineStr">
        <is>
          <t>Calbert K27 Cap</t>
        </is>
      </c>
      <c r="C6" s="4" t="inlineStr">
        <is>
          <t>Calcium / Supplement</t>
        </is>
      </c>
      <c r="D6" s="5" t="n">
        <v>247</v>
      </c>
      <c r="E6" s="5" t="n">
        <v>175</v>
      </c>
      <c r="F6" s="3" t="n">
        <v>42</v>
      </c>
      <c r="G6" s="3" t="n">
        <v>68</v>
      </c>
      <c r="H6" s="3" t="n">
        <v>40</v>
      </c>
      <c r="I6" s="3" t="n">
        <v>70</v>
      </c>
      <c r="J6" s="5" t="n">
        <v>9880</v>
      </c>
      <c r="K6" s="4" t="inlineStr">
        <is>
          <t>03/2026</t>
        </is>
      </c>
    </row>
    <row r="7">
      <c r="A7" s="3" t="n">
        <v>4</v>
      </c>
      <c r="B7" s="4" t="inlineStr">
        <is>
          <t>Ceroxim CV 500 Tab</t>
        </is>
      </c>
      <c r="C7" s="4" t="inlineStr">
        <is>
          <t>Antibiotic</t>
        </is>
      </c>
      <c r="D7" s="5" t="n">
        <v>480</v>
      </c>
      <c r="E7" s="5" t="n">
        <v>340</v>
      </c>
      <c r="F7" s="3" t="n">
        <v>91</v>
      </c>
      <c r="G7" s="3" t="n">
        <v>62</v>
      </c>
      <c r="H7" s="3" t="n">
        <v>35</v>
      </c>
      <c r="I7" s="3" t="n">
        <v>118</v>
      </c>
      <c r="J7" s="5" t="n">
        <v>16800</v>
      </c>
      <c r="K7" s="4" t="inlineStr">
        <is>
          <t>11/2026</t>
        </is>
      </c>
    </row>
    <row r="8">
      <c r="A8" s="3" t="n">
        <v>5</v>
      </c>
      <c r="B8" s="4" t="inlineStr">
        <is>
          <t>Pantobert D Tab</t>
        </is>
      </c>
      <c r="C8" s="4" t="inlineStr">
        <is>
          <t>Gastric Care</t>
        </is>
      </c>
      <c r="D8" s="5" t="n">
        <v>140</v>
      </c>
      <c r="E8" s="5" t="n">
        <v>95</v>
      </c>
      <c r="F8" s="3" t="n">
        <v>63</v>
      </c>
      <c r="G8" s="3" t="n">
        <v>78</v>
      </c>
      <c r="H8" s="3" t="n">
        <v>64</v>
      </c>
      <c r="I8" s="3" t="n">
        <v>77</v>
      </c>
      <c r="J8" s="5" t="n">
        <v>8960</v>
      </c>
      <c r="K8" s="4" t="inlineStr">
        <is>
          <t>09/2026</t>
        </is>
      </c>
    </row>
    <row r="9">
      <c r="A9" s="3" t="n">
        <v>6</v>
      </c>
      <c r="B9" s="4" t="inlineStr">
        <is>
          <t>Moxabert CV 625 Tab</t>
        </is>
      </c>
      <c r="C9" s="4" t="inlineStr">
        <is>
          <t>Antibiotic</t>
        </is>
      </c>
      <c r="D9" s="5" t="n">
        <v>225</v>
      </c>
      <c r="E9" s="5" t="n">
        <v>160</v>
      </c>
      <c r="F9" s="3" t="n">
        <v>78</v>
      </c>
      <c r="G9" s="3" t="n">
        <v>76</v>
      </c>
      <c r="H9" s="3" t="n">
        <v>40</v>
      </c>
      <c r="I9" s="3" t="n">
        <v>114</v>
      </c>
      <c r="J9" s="5" t="n">
        <v>9000</v>
      </c>
      <c r="K9" s="4" t="inlineStr">
        <is>
          <t>10/2026</t>
        </is>
      </c>
    </row>
    <row r="10">
      <c r="A10" s="3" t="n">
        <v>7</v>
      </c>
      <c r="B10" s="4" t="inlineStr">
        <is>
          <t>Chyawanprash 2KG</t>
        </is>
      </c>
      <c r="C10" s="4" t="inlineStr">
        <is>
          <t>Ayurvedic / Immunity</t>
        </is>
      </c>
      <c r="D10" s="5" t="n">
        <v>450</v>
      </c>
      <c r="E10" s="5" t="n">
        <v>330</v>
      </c>
      <c r="F10" s="3" t="n">
        <v>30</v>
      </c>
      <c r="G10" s="3" t="n">
        <v>23</v>
      </c>
      <c r="H10" s="3" t="n">
        <v>48</v>
      </c>
      <c r="I10" s="3" t="n">
        <v>5</v>
      </c>
      <c r="J10" s="5" t="n">
        <v>21600</v>
      </c>
      <c r="K10" s="4" t="inlineStr">
        <is>
          <t>12/2026</t>
        </is>
      </c>
    </row>
    <row r="11">
      <c r="A11" s="3" t="n">
        <v>8</v>
      </c>
      <c r="B11" s="4" t="inlineStr">
        <is>
          <t>Dolo Pain Spray</t>
        </is>
      </c>
      <c r="C11" s="4" t="inlineStr">
        <is>
          <t>Pain Relief</t>
        </is>
      </c>
      <c r="D11" s="5" t="n">
        <v>195</v>
      </c>
      <c r="E11" s="5" t="n">
        <v>140</v>
      </c>
      <c r="F11" s="3" t="n">
        <v>38</v>
      </c>
      <c r="G11" s="3" t="n">
        <v>65</v>
      </c>
      <c r="H11" s="3" t="n">
        <v>48</v>
      </c>
      <c r="I11" s="3" t="n">
        <v>55</v>
      </c>
      <c r="J11" s="5" t="n">
        <v>9360</v>
      </c>
      <c r="K11" s="4" t="inlineStr">
        <is>
          <t>04/2026</t>
        </is>
      </c>
    </row>
    <row r="12">
      <c r="A12" s="3" t="n">
        <v>9</v>
      </c>
      <c r="B12" s="4" t="inlineStr">
        <is>
          <t>Abzolid 600 Tab</t>
        </is>
      </c>
      <c r="C12" s="4" t="inlineStr">
        <is>
          <t>Antibiotic</t>
        </is>
      </c>
      <c r="D12" s="5" t="n">
        <v>406</v>
      </c>
      <c r="E12" s="5" t="n">
        <v>285</v>
      </c>
      <c r="F12" s="3" t="n">
        <v>87</v>
      </c>
      <c r="G12" s="3" t="n">
        <v>38</v>
      </c>
      <c r="H12" s="3" t="n">
        <v>21</v>
      </c>
      <c r="I12" s="3" t="n">
        <v>104</v>
      </c>
      <c r="J12" s="5" t="n">
        <v>8526</v>
      </c>
      <c r="K12" s="4" t="inlineStr">
        <is>
          <t>06/2026</t>
        </is>
      </c>
    </row>
    <row r="13">
      <c r="A13" s="3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3" t="n">
        <v>72</v>
      </c>
      <c r="G13" s="3" t="n">
        <v>59</v>
      </c>
      <c r="H13" s="3" t="n">
        <v>44</v>
      </c>
      <c r="I13" s="3" t="n">
        <v>87</v>
      </c>
      <c r="J13" s="5" t="n">
        <v>8712</v>
      </c>
      <c r="K13" s="4" t="inlineStr">
        <is>
          <t>07/2026</t>
        </is>
      </c>
    </row>
    <row r="14">
      <c r="A14" s="3" t="n">
        <v>11</v>
      </c>
      <c r="B14" s="4" t="inlineStr">
        <is>
          <t>Chymotas Forte Tab</t>
        </is>
      </c>
      <c r="C14" s="4" t="inlineStr">
        <is>
          <t>Pain / Swelling</t>
        </is>
      </c>
      <c r="D14" s="5" t="n">
        <v>370</v>
      </c>
      <c r="E14" s="5" t="n">
        <v>260</v>
      </c>
      <c r="F14" s="3" t="n">
        <v>42</v>
      </c>
      <c r="G14" s="3" t="n">
        <v>43</v>
      </c>
      <c r="H14" s="3" t="n">
        <v>33</v>
      </c>
      <c r="I14" s="3" t="n">
        <v>52</v>
      </c>
      <c r="J14" s="5" t="n">
        <v>12210</v>
      </c>
      <c r="K14" s="4" t="inlineStr">
        <is>
          <t>05/2026</t>
        </is>
      </c>
    </row>
    <row r="15">
      <c r="A15" s="3" t="n">
        <v>12</v>
      </c>
      <c r="B15" s="4" t="inlineStr">
        <is>
          <t>Skinshine Ointment 30g</t>
        </is>
      </c>
      <c r="C15" s="4" t="inlineStr">
        <is>
          <t>Dermatology</t>
        </is>
      </c>
      <c r="D15" s="5" t="n">
        <v>149</v>
      </c>
      <c r="E15" s="5" t="n">
        <v>105</v>
      </c>
      <c r="F15" s="3" t="n">
        <v>56</v>
      </c>
      <c r="G15" s="3" t="n">
        <v>69</v>
      </c>
      <c r="H15" s="3" t="n">
        <v>62</v>
      </c>
      <c r="I15" s="3" t="n">
        <v>63</v>
      </c>
      <c r="J15" s="5" t="n">
        <v>9238</v>
      </c>
      <c r="K15" s="4" t="inlineStr">
        <is>
          <t>03/2026</t>
        </is>
      </c>
    </row>
    <row r="16">
      <c r="A16" s="3" t="n">
        <v>13</v>
      </c>
      <c r="B16" s="4" t="inlineStr">
        <is>
          <t>Dexalife Inj 30ml</t>
        </is>
      </c>
      <c r="C16" s="4" t="inlineStr">
        <is>
          <t>Injectable</t>
        </is>
      </c>
      <c r="D16" s="5" t="n">
        <v>73</v>
      </c>
      <c r="E16" s="5" t="n">
        <v>48</v>
      </c>
      <c r="F16" s="3" t="n">
        <v>81</v>
      </c>
      <c r="G16" s="3" t="n">
        <v>67</v>
      </c>
      <c r="H16" s="3" t="n">
        <v>23</v>
      </c>
      <c r="I16" s="3" t="n">
        <v>125</v>
      </c>
      <c r="J16" s="5" t="n">
        <v>1679</v>
      </c>
      <c r="K16" s="4" t="inlineStr">
        <is>
          <t>04/2026</t>
        </is>
      </c>
    </row>
    <row r="17">
      <c r="A17" s="3" t="n">
        <v>14</v>
      </c>
      <c r="B17" s="4" t="inlineStr">
        <is>
          <t>Moxeb Eye Drop</t>
        </is>
      </c>
      <c r="C17" s="4" t="inlineStr">
        <is>
          <t>Eye Care</t>
        </is>
      </c>
      <c r="D17" s="5" t="n">
        <v>90</v>
      </c>
      <c r="E17" s="5" t="n">
        <v>62</v>
      </c>
      <c r="F17" s="3" t="n">
        <v>74</v>
      </c>
      <c r="G17" s="3" t="n">
        <v>26</v>
      </c>
      <c r="H17" s="3" t="n">
        <v>19</v>
      </c>
      <c r="I17" s="3" t="n">
        <v>81</v>
      </c>
      <c r="J17" s="5" t="n">
        <v>1710</v>
      </c>
      <c r="K17" s="4" t="inlineStr">
        <is>
          <t>07/2026</t>
        </is>
      </c>
    </row>
    <row r="18">
      <c r="A18" s="3" t="n">
        <v>15</v>
      </c>
      <c r="B18" s="4" t="inlineStr">
        <is>
          <t>Lycozen Cap</t>
        </is>
      </c>
      <c r="C18" s="4" t="inlineStr">
        <is>
          <t>Multivitamin</t>
        </is>
      </c>
      <c r="D18" s="5" t="n">
        <v>175</v>
      </c>
      <c r="E18" s="5" t="n">
        <v>120</v>
      </c>
      <c r="F18" s="3" t="n">
        <v>86</v>
      </c>
      <c r="G18" s="3" t="n">
        <v>26</v>
      </c>
      <c r="H18" s="3" t="n">
        <v>54</v>
      </c>
      <c r="I18" s="3" t="n">
        <v>58</v>
      </c>
      <c r="J18" s="5" t="n">
        <v>9450</v>
      </c>
      <c r="K18" s="4" t="inlineStr">
        <is>
          <t>01/2026</t>
        </is>
      </c>
    </row>
    <row r="19">
      <c r="A19" s="3" t="n">
        <v>16</v>
      </c>
      <c r="B19" s="4" t="inlineStr">
        <is>
          <t>Deca-Intabolin 50mg Inj</t>
        </is>
      </c>
      <c r="C19" s="4" t="inlineStr">
        <is>
          <t>Steroid / Inj</t>
        </is>
      </c>
      <c r="D19" s="5" t="n">
        <v>280</v>
      </c>
      <c r="E19" s="5" t="n">
        <v>195</v>
      </c>
      <c r="F19" s="3" t="n">
        <v>32</v>
      </c>
      <c r="G19" s="3" t="n">
        <v>76</v>
      </c>
      <c r="H19" s="3" t="n">
        <v>49</v>
      </c>
      <c r="I19" s="3" t="n">
        <v>59</v>
      </c>
      <c r="J19" s="5" t="n">
        <v>13720</v>
      </c>
      <c r="K19" s="4" t="inlineStr">
        <is>
          <t>08/2026</t>
        </is>
      </c>
    </row>
    <row r="20">
      <c r="A20" s="3" t="n">
        <v>17</v>
      </c>
      <c r="B20" s="4" t="inlineStr">
        <is>
          <t>Ketomac Shampoo 100ml</t>
        </is>
      </c>
      <c r="C20" s="4" t="inlineStr">
        <is>
          <t>Dermatology</t>
        </is>
      </c>
      <c r="D20" s="5" t="n">
        <v>220</v>
      </c>
      <c r="E20" s="5" t="n">
        <v>155</v>
      </c>
      <c r="F20" s="3" t="n">
        <v>59</v>
      </c>
      <c r="G20" s="3" t="n">
        <v>72</v>
      </c>
      <c r="H20" s="3" t="n">
        <v>61</v>
      </c>
      <c r="I20" s="3" t="n">
        <v>70</v>
      </c>
      <c r="J20" s="5" t="n">
        <v>13420</v>
      </c>
      <c r="K20" s="4" t="inlineStr">
        <is>
          <t>09/2026</t>
        </is>
      </c>
    </row>
    <row r="21">
      <c r="A21" s="3" t="n">
        <v>18</v>
      </c>
      <c r="B21" s="4" t="inlineStr">
        <is>
          <t>Clobeta GM 10g Cream</t>
        </is>
      </c>
      <c r="C21" s="4" t="inlineStr">
        <is>
          <t>Dermatology</t>
        </is>
      </c>
      <c r="D21" s="5" t="n">
        <v>85</v>
      </c>
      <c r="E21" s="5" t="n">
        <v>58</v>
      </c>
      <c r="F21" s="3" t="n">
        <v>73</v>
      </c>
      <c r="G21" s="3" t="n">
        <v>30</v>
      </c>
      <c r="H21" s="3" t="n">
        <v>51</v>
      </c>
      <c r="I21" s="3" t="n">
        <v>52</v>
      </c>
      <c r="J21" s="5" t="n">
        <v>4335</v>
      </c>
      <c r="K21" s="4" t="inlineStr">
        <is>
          <t>02/2026</t>
        </is>
      </c>
    </row>
    <row r="22">
      <c r="A22" s="3" t="n">
        <v>19</v>
      </c>
      <c r="B22" s="4" t="inlineStr">
        <is>
          <t>Montas FX Tab</t>
        </is>
      </c>
      <c r="C22" s="4" t="inlineStr">
        <is>
          <t>Respiratory / Allergy</t>
        </is>
      </c>
      <c r="D22" s="5" t="n">
        <v>210</v>
      </c>
      <c r="E22" s="5" t="n">
        <v>148</v>
      </c>
      <c r="F22" s="3" t="n">
        <v>54</v>
      </c>
      <c r="G22" s="3" t="n">
        <v>75</v>
      </c>
      <c r="H22" s="3" t="n">
        <v>19</v>
      </c>
      <c r="I22" s="3" t="n">
        <v>110</v>
      </c>
      <c r="J22" s="5" t="n">
        <v>3990</v>
      </c>
      <c r="K22" s="4" t="inlineStr">
        <is>
          <t>10/2026</t>
        </is>
      </c>
    </row>
    <row r="23">
      <c r="A23" s="3" t="n">
        <v>20</v>
      </c>
      <c r="B23" s="4" t="inlineStr">
        <is>
          <t>Intapeptin Syrup 60ml</t>
        </is>
      </c>
      <c r="C23" s="4" t="inlineStr">
        <is>
          <t>Pediatric Care</t>
        </is>
      </c>
      <c r="D23" s="5" t="n">
        <v>110</v>
      </c>
      <c r="E23" s="5" t="n">
        <v>76</v>
      </c>
      <c r="F23" s="3" t="n">
        <v>90</v>
      </c>
      <c r="G23" s="3" t="n">
        <v>69</v>
      </c>
      <c r="H23" s="3" t="n">
        <v>49</v>
      </c>
      <c r="I23" s="3" t="n">
        <v>110</v>
      </c>
      <c r="J23" s="5" t="n">
        <v>5390</v>
      </c>
      <c r="K23" s="4" t="inlineStr">
        <is>
          <t>06/2026</t>
        </is>
      </c>
    </row>
    <row r="24">
      <c r="A24" s="3" t="n">
        <v>21</v>
      </c>
      <c r="B24" s="4" t="inlineStr">
        <is>
          <t>Sicflox CX Tab</t>
        </is>
      </c>
      <c r="C24" s="4" t="inlineStr">
        <is>
          <t>Antibiotic</t>
        </is>
      </c>
      <c r="D24" s="5" t="n">
        <v>135</v>
      </c>
      <c r="E24" s="5" t="n">
        <v>92</v>
      </c>
      <c r="F24" s="3" t="n">
        <v>78</v>
      </c>
      <c r="G24" s="3" t="n">
        <v>68</v>
      </c>
      <c r="H24" s="3" t="n">
        <v>57</v>
      </c>
      <c r="I24" s="3" t="n">
        <v>89</v>
      </c>
      <c r="J24" s="5" t="n">
        <v>7695</v>
      </c>
      <c r="K24" s="4" t="inlineStr">
        <is>
          <t>05/2026</t>
        </is>
      </c>
    </row>
    <row r="25">
      <c r="A25" s="3" t="n">
        <v>22</v>
      </c>
      <c r="B25" s="4" t="inlineStr">
        <is>
          <t>Motinor LC Syrup 60ml</t>
        </is>
      </c>
      <c r="C25" s="4" t="inlineStr">
        <is>
          <t>Pediatric Care</t>
        </is>
      </c>
      <c r="D25" s="5" t="n">
        <v>95</v>
      </c>
      <c r="E25" s="5" t="n">
        <v>65</v>
      </c>
      <c r="F25" s="3" t="n">
        <v>31</v>
      </c>
      <c r="G25" s="3" t="n">
        <v>43</v>
      </c>
      <c r="H25" s="3" t="n">
        <v>26</v>
      </c>
      <c r="I25" s="3" t="n">
        <v>48</v>
      </c>
      <c r="J25" s="5" t="n">
        <v>2470</v>
      </c>
      <c r="K25" s="4" t="inlineStr">
        <is>
          <t>11/2026</t>
        </is>
      </c>
    </row>
    <row r="26">
      <c r="A26" s="3" t="n">
        <v>23</v>
      </c>
      <c r="B26" s="4" t="inlineStr">
        <is>
          <t>Itra-Albert 200mg Cap</t>
        </is>
      </c>
      <c r="C26" s="4" t="inlineStr">
        <is>
          <t>Antifungal</t>
        </is>
      </c>
      <c r="D26" s="5" t="n">
        <v>225</v>
      </c>
      <c r="E26" s="5" t="n">
        <v>160</v>
      </c>
      <c r="F26" s="3" t="n">
        <v>38</v>
      </c>
      <c r="G26" s="3" t="n">
        <v>20</v>
      </c>
      <c r="H26" s="3" t="n">
        <v>52</v>
      </c>
      <c r="I26" s="3" t="n">
        <v>6</v>
      </c>
      <c r="J26" s="5" t="n">
        <v>11700</v>
      </c>
      <c r="K26" s="4" t="inlineStr">
        <is>
          <t>04/2026</t>
        </is>
      </c>
    </row>
    <row r="27">
      <c r="A27" s="3" t="n">
        <v>24</v>
      </c>
      <c r="B27" s="4" t="inlineStr">
        <is>
          <t>Alamin Plus Cap</t>
        </is>
      </c>
      <c r="C27" s="4" t="inlineStr">
        <is>
          <t>Protein / Supplement</t>
        </is>
      </c>
      <c r="D27" s="5" t="n">
        <v>131</v>
      </c>
      <c r="E27" s="5" t="n">
        <v>90</v>
      </c>
      <c r="F27" s="3" t="n">
        <v>57</v>
      </c>
      <c r="G27" s="3" t="n">
        <v>72</v>
      </c>
      <c r="H27" s="3" t="n">
        <v>25</v>
      </c>
      <c r="I27" s="3" t="n">
        <v>104</v>
      </c>
      <c r="J27" s="5" t="n">
        <v>3275</v>
      </c>
      <c r="K27" s="4" t="inlineStr">
        <is>
          <t>01/2026</t>
        </is>
      </c>
    </row>
    <row r="28">
      <c r="A28" s="3" t="n">
        <v>25</v>
      </c>
      <c r="B28" s="4" t="inlineStr">
        <is>
          <t>Patobert 40 Tab</t>
        </is>
      </c>
      <c r="C28" s="4" t="inlineStr">
        <is>
          <t>Gastric Care</t>
        </is>
      </c>
      <c r="D28" s="5" t="n">
        <v>110</v>
      </c>
      <c r="E28" s="5" t="n">
        <v>75</v>
      </c>
      <c r="F28" s="3" t="n">
        <v>92</v>
      </c>
      <c r="G28" s="3" t="n">
        <v>28</v>
      </c>
      <c r="H28" s="3" t="n">
        <v>35</v>
      </c>
      <c r="I28" s="3" t="n">
        <v>85</v>
      </c>
      <c r="J28" s="5" t="n">
        <v>3850</v>
      </c>
      <c r="K28" s="4" t="inlineStr">
        <is>
          <t>12/2026</t>
        </is>
      </c>
    </row>
    <row r="29">
      <c r="A29" s="3" t="n">
        <v>26</v>
      </c>
      <c r="B29" s="4" t="inlineStr">
        <is>
          <t>Mahanac Tab</t>
        </is>
      </c>
      <c r="C29" s="4" t="inlineStr">
        <is>
          <t>Pain Relief</t>
        </is>
      </c>
      <c r="D29" s="5" t="n">
        <v>72</v>
      </c>
      <c r="E29" s="5" t="n">
        <v>48</v>
      </c>
      <c r="F29" s="3" t="n">
        <v>61</v>
      </c>
      <c r="G29" s="3" t="n">
        <v>53</v>
      </c>
      <c r="H29" s="3" t="n">
        <v>50</v>
      </c>
      <c r="I29" s="3" t="n">
        <v>64</v>
      </c>
      <c r="J29" s="5" t="n">
        <v>3600</v>
      </c>
      <c r="K29" s="4" t="inlineStr">
        <is>
          <t>08/2026</t>
        </is>
      </c>
    </row>
    <row r="30">
      <c r="A30" s="3" t="n">
        <v>27</v>
      </c>
      <c r="B30" s="4" t="inlineStr">
        <is>
          <t>Rabalkem DSR Cap</t>
        </is>
      </c>
      <c r="C30" s="4" t="inlineStr">
        <is>
          <t>Gastric Care</t>
        </is>
      </c>
      <c r="D30" s="5" t="n">
        <v>183</v>
      </c>
      <c r="E30" s="5" t="n">
        <v>128</v>
      </c>
      <c r="F30" s="3" t="n">
        <v>56</v>
      </c>
      <c r="G30" s="3" t="n">
        <v>55</v>
      </c>
      <c r="H30" s="3" t="n">
        <v>71</v>
      </c>
      <c r="I30" s="3" t="n">
        <v>40</v>
      </c>
      <c r="J30" s="5" t="n">
        <v>12993</v>
      </c>
      <c r="K30" s="4" t="inlineStr">
        <is>
          <t>08/2026</t>
        </is>
      </c>
    </row>
    <row r="31">
      <c r="A31" s="3" t="n">
        <v>28</v>
      </c>
      <c r="B31" s="4" t="inlineStr">
        <is>
          <t>Chyawanprash 500g</t>
        </is>
      </c>
      <c r="C31" s="4" t="inlineStr">
        <is>
          <t>Ayurvedic</t>
        </is>
      </c>
      <c r="D31" s="5" t="n">
        <v>210</v>
      </c>
      <c r="E31" s="5" t="n">
        <v>150</v>
      </c>
      <c r="F31" s="3" t="n">
        <v>36</v>
      </c>
      <c r="G31" s="3" t="n">
        <v>32</v>
      </c>
      <c r="H31" s="3" t="n">
        <v>51</v>
      </c>
      <c r="I31" s="3" t="n">
        <v>17</v>
      </c>
      <c r="J31" s="5" t="n">
        <v>10710</v>
      </c>
      <c r="K31" s="4" t="inlineStr">
        <is>
          <t>09/2026</t>
        </is>
      </c>
    </row>
    <row r="32">
      <c r="A32" s="3" t="n">
        <v>29</v>
      </c>
      <c r="B32" s="4" t="inlineStr">
        <is>
          <t>Gentalab 30ml Inj</t>
        </is>
      </c>
      <c r="C32" s="4" t="inlineStr">
        <is>
          <t>Injectable</t>
        </is>
      </c>
      <c r="D32" s="5" t="n">
        <v>45</v>
      </c>
      <c r="E32" s="5" t="n">
        <v>28</v>
      </c>
      <c r="F32" s="3" t="n">
        <v>31</v>
      </c>
      <c r="G32" s="3" t="n">
        <v>55</v>
      </c>
      <c r="H32" s="3" t="n">
        <v>23</v>
      </c>
      <c r="I32" s="3" t="n">
        <v>63</v>
      </c>
      <c r="J32" s="5" t="n">
        <v>1035</v>
      </c>
      <c r="K32" s="4" t="inlineStr">
        <is>
          <t>03/2026</t>
        </is>
      </c>
    </row>
    <row r="33">
      <c r="A33" s="3" t="n">
        <v>30</v>
      </c>
      <c r="B33" s="4" t="inlineStr">
        <is>
          <t>Moxib D Eye Drop</t>
        </is>
      </c>
      <c r="C33" s="4" t="inlineStr">
        <is>
          <t>Eye Care</t>
        </is>
      </c>
      <c r="D33" s="5" t="n">
        <v>110</v>
      </c>
      <c r="E33" s="5" t="n">
        <v>78</v>
      </c>
      <c r="F33" s="3" t="n">
        <v>85</v>
      </c>
      <c r="G33" s="3" t="n">
        <v>27</v>
      </c>
      <c r="H33" s="3" t="n">
        <v>27</v>
      </c>
      <c r="I33" s="3" t="n">
        <v>85</v>
      </c>
      <c r="J33" s="5" t="n">
        <v>2970</v>
      </c>
      <c r="K33" s="4" t="inlineStr">
        <is>
          <t>06/2026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Inventory &amp; Sales Register (June 2026)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Price (₹)</t>
        </is>
      </c>
      <c r="F3" s="2" t="inlineStr">
        <is>
          <t>Opening Stock</t>
        </is>
      </c>
      <c r="G3" s="2" t="inlineStr">
        <is>
          <t>Purchase Qty</t>
        </is>
      </c>
      <c r="H3" s="2" t="inlineStr">
        <is>
          <t>Sales Qty</t>
        </is>
      </c>
      <c r="I3" s="2" t="inlineStr">
        <is>
          <t>Closing Stock</t>
        </is>
      </c>
      <c r="J3" s="2" t="inlineStr">
        <is>
          <t>Total Sales Revenue (₹)</t>
        </is>
      </c>
      <c r="K3" s="2" t="inlineStr">
        <is>
          <t>Expiry Date</t>
        </is>
      </c>
    </row>
    <row r="4">
      <c r="A4" s="3" t="n">
        <v>1</v>
      </c>
      <c r="B4" s="4" t="inlineStr">
        <is>
          <t>Rabitec DSR Cap</t>
        </is>
      </c>
      <c r="C4" s="4" t="inlineStr">
        <is>
          <t>Gastric Care</t>
        </is>
      </c>
      <c r="D4" s="5" t="n">
        <v>185</v>
      </c>
      <c r="E4" s="5" t="n">
        <v>130</v>
      </c>
      <c r="F4" s="3" t="n">
        <v>43</v>
      </c>
      <c r="G4" s="3" t="n">
        <v>50</v>
      </c>
      <c r="H4" s="3" t="n">
        <v>74</v>
      </c>
      <c r="I4" s="3" t="n">
        <v>19</v>
      </c>
      <c r="J4" s="5" t="n">
        <v>13690</v>
      </c>
      <c r="K4" s="4" t="inlineStr">
        <is>
          <t>08/2026</t>
        </is>
      </c>
    </row>
    <row r="5">
      <c r="A5" s="3" t="n">
        <v>2</v>
      </c>
      <c r="B5" s="4" t="inlineStr">
        <is>
          <t>Montas L Tab (10s)</t>
        </is>
      </c>
      <c r="C5" s="4" t="inlineStr">
        <is>
          <t>Respiratory / Cold</t>
        </is>
      </c>
      <c r="D5" s="5" t="n">
        <v>165</v>
      </c>
      <c r="E5" s="5" t="n">
        <v>115</v>
      </c>
      <c r="F5" s="3" t="n">
        <v>64</v>
      </c>
      <c r="G5" s="3" t="n">
        <v>31</v>
      </c>
      <c r="H5" s="3" t="n">
        <v>46</v>
      </c>
      <c r="I5" s="3" t="n">
        <v>49</v>
      </c>
      <c r="J5" s="5" t="n">
        <v>7590</v>
      </c>
      <c r="K5" s="4" t="inlineStr">
        <is>
          <t>05/2026</t>
        </is>
      </c>
    </row>
    <row r="6">
      <c r="A6" s="3" t="n">
        <v>3</v>
      </c>
      <c r="B6" s="4" t="inlineStr">
        <is>
          <t>Calbert K27 Cap</t>
        </is>
      </c>
      <c r="C6" s="4" t="inlineStr">
        <is>
          <t>Calcium / Supplement</t>
        </is>
      </c>
      <c r="D6" s="5" t="n">
        <v>247</v>
      </c>
      <c r="E6" s="5" t="n">
        <v>175</v>
      </c>
      <c r="F6" s="3" t="n">
        <v>48</v>
      </c>
      <c r="G6" s="3" t="n">
        <v>30</v>
      </c>
      <c r="H6" s="3" t="n">
        <v>23</v>
      </c>
      <c r="I6" s="3" t="n">
        <v>55</v>
      </c>
      <c r="J6" s="5" t="n">
        <v>5681</v>
      </c>
      <c r="K6" s="4" t="inlineStr">
        <is>
          <t>03/2026</t>
        </is>
      </c>
    </row>
    <row r="7">
      <c r="A7" s="3" t="n">
        <v>4</v>
      </c>
      <c r="B7" s="4" t="inlineStr">
        <is>
          <t>Ceroxim CV 500 Tab</t>
        </is>
      </c>
      <c r="C7" s="4" t="inlineStr">
        <is>
          <t>Antibiotic</t>
        </is>
      </c>
      <c r="D7" s="5" t="n">
        <v>480</v>
      </c>
      <c r="E7" s="5" t="n">
        <v>340</v>
      </c>
      <c r="F7" s="3" t="n">
        <v>79</v>
      </c>
      <c r="G7" s="3" t="n">
        <v>50</v>
      </c>
      <c r="H7" s="3" t="n">
        <v>64</v>
      </c>
      <c r="I7" s="3" t="n">
        <v>65</v>
      </c>
      <c r="J7" s="5" t="n">
        <v>30720</v>
      </c>
      <c r="K7" s="4" t="inlineStr">
        <is>
          <t>11/2026</t>
        </is>
      </c>
    </row>
    <row r="8">
      <c r="A8" s="3" t="n">
        <v>5</v>
      </c>
      <c r="B8" s="4" t="inlineStr">
        <is>
          <t>Pantobert D Tab</t>
        </is>
      </c>
      <c r="C8" s="4" t="inlineStr">
        <is>
          <t>Gastric Care</t>
        </is>
      </c>
      <c r="D8" s="5" t="n">
        <v>140</v>
      </c>
      <c r="E8" s="5" t="n">
        <v>95</v>
      </c>
      <c r="F8" s="3" t="n">
        <v>46</v>
      </c>
      <c r="G8" s="3" t="n">
        <v>42</v>
      </c>
      <c r="H8" s="3" t="n">
        <v>25</v>
      </c>
      <c r="I8" s="3" t="n">
        <v>63</v>
      </c>
      <c r="J8" s="5" t="n">
        <v>3500</v>
      </c>
      <c r="K8" s="4" t="inlineStr">
        <is>
          <t>09/2026</t>
        </is>
      </c>
    </row>
    <row r="9">
      <c r="A9" s="3" t="n">
        <v>6</v>
      </c>
      <c r="B9" s="4" t="inlineStr">
        <is>
          <t>Moxabert CV 625 Tab</t>
        </is>
      </c>
      <c r="C9" s="4" t="inlineStr">
        <is>
          <t>Antibiotic</t>
        </is>
      </c>
      <c r="D9" s="5" t="n">
        <v>225</v>
      </c>
      <c r="E9" s="5" t="n">
        <v>160</v>
      </c>
      <c r="F9" s="3" t="n">
        <v>57</v>
      </c>
      <c r="G9" s="3" t="n">
        <v>31</v>
      </c>
      <c r="H9" s="3" t="n">
        <v>26</v>
      </c>
      <c r="I9" s="3" t="n">
        <v>62</v>
      </c>
      <c r="J9" s="5" t="n">
        <v>5850</v>
      </c>
      <c r="K9" s="4" t="inlineStr">
        <is>
          <t>10/2026</t>
        </is>
      </c>
    </row>
    <row r="10">
      <c r="A10" s="3" t="n">
        <v>7</v>
      </c>
      <c r="B10" s="4" t="inlineStr">
        <is>
          <t>Chyawanprash 2KG</t>
        </is>
      </c>
      <c r="C10" s="4" t="inlineStr">
        <is>
          <t>Ayurvedic / Immunity</t>
        </is>
      </c>
      <c r="D10" s="5" t="n">
        <v>450</v>
      </c>
      <c r="E10" s="5" t="n">
        <v>330</v>
      </c>
      <c r="F10" s="3" t="n">
        <v>25</v>
      </c>
      <c r="G10" s="3" t="n">
        <v>40</v>
      </c>
      <c r="H10" s="3" t="n">
        <v>15</v>
      </c>
      <c r="I10" s="3" t="n">
        <v>50</v>
      </c>
      <c r="J10" s="5" t="n">
        <v>6750</v>
      </c>
      <c r="K10" s="4" t="inlineStr">
        <is>
          <t>12/2026</t>
        </is>
      </c>
    </row>
    <row r="11">
      <c r="A11" s="3" t="n">
        <v>8</v>
      </c>
      <c r="B11" s="4" t="inlineStr">
        <is>
          <t>Dolo Pain Spray</t>
        </is>
      </c>
      <c r="C11" s="4" t="inlineStr">
        <is>
          <t>Pain Relief</t>
        </is>
      </c>
      <c r="D11" s="5" t="n">
        <v>195</v>
      </c>
      <c r="E11" s="5" t="n">
        <v>140</v>
      </c>
      <c r="F11" s="3" t="n">
        <v>44</v>
      </c>
      <c r="G11" s="3" t="n">
        <v>37</v>
      </c>
      <c r="H11" s="3" t="n">
        <v>17</v>
      </c>
      <c r="I11" s="3" t="n">
        <v>64</v>
      </c>
      <c r="J11" s="5" t="n">
        <v>3315</v>
      </c>
      <c r="K11" s="4" t="inlineStr">
        <is>
          <t>04/2026</t>
        </is>
      </c>
    </row>
    <row r="12">
      <c r="A12" s="3" t="n">
        <v>9</v>
      </c>
      <c r="B12" s="4" t="inlineStr">
        <is>
          <t>Abzolid 600 Tab</t>
        </is>
      </c>
      <c r="C12" s="4" t="inlineStr">
        <is>
          <t>Antibiotic</t>
        </is>
      </c>
      <c r="D12" s="5" t="n">
        <v>406</v>
      </c>
      <c r="E12" s="5" t="n">
        <v>285</v>
      </c>
      <c r="F12" s="3" t="n">
        <v>45</v>
      </c>
      <c r="G12" s="3" t="n">
        <v>66</v>
      </c>
      <c r="H12" s="3" t="n">
        <v>40</v>
      </c>
      <c r="I12" s="3" t="n">
        <v>71</v>
      </c>
      <c r="J12" s="5" t="n">
        <v>16240</v>
      </c>
      <c r="K12" s="4" t="inlineStr">
        <is>
          <t>06/2026</t>
        </is>
      </c>
    </row>
    <row r="13">
      <c r="A13" s="3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3" t="n">
        <v>56</v>
      </c>
      <c r="G13" s="3" t="n">
        <v>60</v>
      </c>
      <c r="H13" s="3" t="n">
        <v>41</v>
      </c>
      <c r="I13" s="3" t="n">
        <v>75</v>
      </c>
      <c r="J13" s="5" t="n">
        <v>8118</v>
      </c>
      <c r="K13" s="4" t="inlineStr">
        <is>
          <t>07/2026</t>
        </is>
      </c>
    </row>
    <row r="14">
      <c r="A14" s="3" t="n">
        <v>11</v>
      </c>
      <c r="B14" s="4" t="inlineStr">
        <is>
          <t>Chymotas Forte Tab</t>
        </is>
      </c>
      <c r="C14" s="4" t="inlineStr">
        <is>
          <t>Pain / Swelling</t>
        </is>
      </c>
      <c r="D14" s="5" t="n">
        <v>370</v>
      </c>
      <c r="E14" s="5" t="n">
        <v>260</v>
      </c>
      <c r="F14" s="3" t="n">
        <v>66</v>
      </c>
      <c r="G14" s="3" t="n">
        <v>29</v>
      </c>
      <c r="H14" s="3" t="n">
        <v>27</v>
      </c>
      <c r="I14" s="3" t="n">
        <v>68</v>
      </c>
      <c r="J14" s="5" t="n">
        <v>9990</v>
      </c>
      <c r="K14" s="4" t="inlineStr">
        <is>
          <t>05/2026</t>
        </is>
      </c>
    </row>
    <row r="15">
      <c r="A15" s="3" t="n">
        <v>12</v>
      </c>
      <c r="B15" s="4" t="inlineStr">
        <is>
          <t>Skinshine Ointment 30g</t>
        </is>
      </c>
      <c r="C15" s="4" t="inlineStr">
        <is>
          <t>Dermatology</t>
        </is>
      </c>
      <c r="D15" s="5" t="n">
        <v>149</v>
      </c>
      <c r="E15" s="5" t="n">
        <v>105</v>
      </c>
      <c r="F15" s="3" t="n">
        <v>67</v>
      </c>
      <c r="G15" s="3" t="n">
        <v>42</v>
      </c>
      <c r="H15" s="3" t="n">
        <v>72</v>
      </c>
      <c r="I15" s="3" t="n">
        <v>37</v>
      </c>
      <c r="J15" s="5" t="n">
        <v>10728</v>
      </c>
      <c r="K15" s="4" t="inlineStr">
        <is>
          <t>03/2026</t>
        </is>
      </c>
    </row>
    <row r="16">
      <c r="A16" s="3" t="n">
        <v>13</v>
      </c>
      <c r="B16" s="4" t="inlineStr">
        <is>
          <t>Dexalife Inj 30ml</t>
        </is>
      </c>
      <c r="C16" s="4" t="inlineStr">
        <is>
          <t>Injectable</t>
        </is>
      </c>
      <c r="D16" s="5" t="n">
        <v>73</v>
      </c>
      <c r="E16" s="5" t="n">
        <v>48</v>
      </c>
      <c r="F16" s="3" t="n">
        <v>65</v>
      </c>
      <c r="G16" s="3" t="n">
        <v>34</v>
      </c>
      <c r="H16" s="3" t="n">
        <v>39</v>
      </c>
      <c r="I16" s="3" t="n">
        <v>60</v>
      </c>
      <c r="J16" s="5" t="n">
        <v>2847</v>
      </c>
      <c r="K16" s="4" t="inlineStr">
        <is>
          <t>04/2026</t>
        </is>
      </c>
    </row>
    <row r="17">
      <c r="A17" s="3" t="n">
        <v>14</v>
      </c>
      <c r="B17" s="4" t="inlineStr">
        <is>
          <t>Moxeb Eye Drop</t>
        </is>
      </c>
      <c r="C17" s="4" t="inlineStr">
        <is>
          <t>Eye Care</t>
        </is>
      </c>
      <c r="D17" s="5" t="n">
        <v>90</v>
      </c>
      <c r="E17" s="5" t="n">
        <v>62</v>
      </c>
      <c r="F17" s="3" t="n">
        <v>63</v>
      </c>
      <c r="G17" s="3" t="n">
        <v>38</v>
      </c>
      <c r="H17" s="3" t="n">
        <v>51</v>
      </c>
      <c r="I17" s="3" t="n">
        <v>50</v>
      </c>
      <c r="J17" s="5" t="n">
        <v>4590</v>
      </c>
      <c r="K17" s="4" t="inlineStr">
        <is>
          <t>07/2026</t>
        </is>
      </c>
    </row>
    <row r="18">
      <c r="A18" s="3" t="n">
        <v>15</v>
      </c>
      <c r="B18" s="4" t="inlineStr">
        <is>
          <t>Lycozen Cap</t>
        </is>
      </c>
      <c r="C18" s="4" t="inlineStr">
        <is>
          <t>Multivitamin</t>
        </is>
      </c>
      <c r="D18" s="5" t="n">
        <v>175</v>
      </c>
      <c r="E18" s="5" t="n">
        <v>120</v>
      </c>
      <c r="F18" s="3" t="n">
        <v>91</v>
      </c>
      <c r="G18" s="3" t="n">
        <v>80</v>
      </c>
      <c r="H18" s="3" t="n">
        <v>33</v>
      </c>
      <c r="I18" s="3" t="n">
        <v>138</v>
      </c>
      <c r="J18" s="5" t="n">
        <v>5775</v>
      </c>
      <c r="K18" s="4" t="inlineStr">
        <is>
          <t>01/2026</t>
        </is>
      </c>
    </row>
    <row r="19">
      <c r="A19" s="3" t="n">
        <v>16</v>
      </c>
      <c r="B19" s="4" t="inlineStr">
        <is>
          <t>Deca-Intabolin 50mg Inj</t>
        </is>
      </c>
      <c r="C19" s="4" t="inlineStr">
        <is>
          <t>Steroid / Inj</t>
        </is>
      </c>
      <c r="D19" s="5" t="n">
        <v>280</v>
      </c>
      <c r="E19" s="5" t="n">
        <v>195</v>
      </c>
      <c r="F19" s="3" t="n">
        <v>45</v>
      </c>
      <c r="G19" s="3" t="n">
        <v>62</v>
      </c>
      <c r="H19" s="3" t="n">
        <v>42</v>
      </c>
      <c r="I19" s="3" t="n">
        <v>65</v>
      </c>
      <c r="J19" s="5" t="n">
        <v>11760</v>
      </c>
      <c r="K19" s="4" t="inlineStr">
        <is>
          <t>08/2026</t>
        </is>
      </c>
    </row>
    <row r="20">
      <c r="A20" s="3" t="n">
        <v>17</v>
      </c>
      <c r="B20" s="4" t="inlineStr">
        <is>
          <t>Ketomac Shampoo 100ml</t>
        </is>
      </c>
      <c r="C20" s="4" t="inlineStr">
        <is>
          <t>Dermatology</t>
        </is>
      </c>
      <c r="D20" s="5" t="n">
        <v>220</v>
      </c>
      <c r="E20" s="5" t="n">
        <v>155</v>
      </c>
      <c r="F20" s="3" t="n">
        <v>26</v>
      </c>
      <c r="G20" s="3" t="n">
        <v>44</v>
      </c>
      <c r="H20" s="3" t="n">
        <v>33</v>
      </c>
      <c r="I20" s="3" t="n">
        <v>37</v>
      </c>
      <c r="J20" s="5" t="n">
        <v>7260</v>
      </c>
      <c r="K20" s="4" t="inlineStr">
        <is>
          <t>09/2026</t>
        </is>
      </c>
    </row>
    <row r="21">
      <c r="A21" s="3" t="n">
        <v>18</v>
      </c>
      <c r="B21" s="4" t="inlineStr">
        <is>
          <t>Clobeta GM 10g Cream</t>
        </is>
      </c>
      <c r="C21" s="4" t="inlineStr">
        <is>
          <t>Dermatology</t>
        </is>
      </c>
      <c r="D21" s="5" t="n">
        <v>85</v>
      </c>
      <c r="E21" s="5" t="n">
        <v>58</v>
      </c>
      <c r="F21" s="3" t="n">
        <v>92</v>
      </c>
      <c r="G21" s="3" t="n">
        <v>47</v>
      </c>
      <c r="H21" s="3" t="n">
        <v>29</v>
      </c>
      <c r="I21" s="3" t="n">
        <v>110</v>
      </c>
      <c r="J21" s="5" t="n">
        <v>2465</v>
      </c>
      <c r="K21" s="4" t="inlineStr">
        <is>
          <t>02/2026</t>
        </is>
      </c>
    </row>
    <row r="22">
      <c r="A22" s="3" t="n">
        <v>19</v>
      </c>
      <c r="B22" s="4" t="inlineStr">
        <is>
          <t>Montas FX Tab</t>
        </is>
      </c>
      <c r="C22" s="4" t="inlineStr">
        <is>
          <t>Respiratory / Allergy</t>
        </is>
      </c>
      <c r="D22" s="5" t="n">
        <v>210</v>
      </c>
      <c r="E22" s="5" t="n">
        <v>148</v>
      </c>
      <c r="F22" s="3" t="n">
        <v>57</v>
      </c>
      <c r="G22" s="3" t="n">
        <v>33</v>
      </c>
      <c r="H22" s="3" t="n">
        <v>26</v>
      </c>
      <c r="I22" s="3" t="n">
        <v>64</v>
      </c>
      <c r="J22" s="5" t="n">
        <v>5460</v>
      </c>
      <c r="K22" s="4" t="inlineStr">
        <is>
          <t>10/2026</t>
        </is>
      </c>
    </row>
    <row r="23">
      <c r="A23" s="3" t="n">
        <v>20</v>
      </c>
      <c r="B23" s="4" t="inlineStr">
        <is>
          <t>Intapeptin Syrup 60ml</t>
        </is>
      </c>
      <c r="C23" s="4" t="inlineStr">
        <is>
          <t>Pediatric Care</t>
        </is>
      </c>
      <c r="D23" s="5" t="n">
        <v>110</v>
      </c>
      <c r="E23" s="5" t="n">
        <v>76</v>
      </c>
      <c r="F23" s="3" t="n">
        <v>88</v>
      </c>
      <c r="G23" s="3" t="n">
        <v>79</v>
      </c>
      <c r="H23" s="3" t="n">
        <v>43</v>
      </c>
      <c r="I23" s="3" t="n">
        <v>124</v>
      </c>
      <c r="J23" s="5" t="n">
        <v>4730</v>
      </c>
      <c r="K23" s="4" t="inlineStr">
        <is>
          <t>06/2026</t>
        </is>
      </c>
    </row>
    <row r="24">
      <c r="A24" s="3" t="n">
        <v>21</v>
      </c>
      <c r="B24" s="4" t="inlineStr">
        <is>
          <t>Sicflox CX Tab</t>
        </is>
      </c>
      <c r="C24" s="4" t="inlineStr">
        <is>
          <t>Antibiotic</t>
        </is>
      </c>
      <c r="D24" s="5" t="n">
        <v>135</v>
      </c>
      <c r="E24" s="5" t="n">
        <v>92</v>
      </c>
      <c r="F24" s="3" t="n">
        <v>51</v>
      </c>
      <c r="G24" s="3" t="n">
        <v>28</v>
      </c>
      <c r="H24" s="3" t="n">
        <v>71</v>
      </c>
      <c r="I24" s="3" t="n">
        <v>8</v>
      </c>
      <c r="J24" s="5" t="n">
        <v>9585</v>
      </c>
      <c r="K24" s="4" t="inlineStr">
        <is>
          <t>05/2026</t>
        </is>
      </c>
    </row>
    <row r="25">
      <c r="A25" s="3" t="n">
        <v>22</v>
      </c>
      <c r="B25" s="4" t="inlineStr">
        <is>
          <t>Motinor LC Syrup 60ml</t>
        </is>
      </c>
      <c r="C25" s="4" t="inlineStr">
        <is>
          <t>Pediatric Care</t>
        </is>
      </c>
      <c r="D25" s="5" t="n">
        <v>95</v>
      </c>
      <c r="E25" s="5" t="n">
        <v>65</v>
      </c>
      <c r="F25" s="3" t="n">
        <v>35</v>
      </c>
      <c r="G25" s="3" t="n">
        <v>46</v>
      </c>
      <c r="H25" s="3" t="n">
        <v>21</v>
      </c>
      <c r="I25" s="3" t="n">
        <v>60</v>
      </c>
      <c r="J25" s="5" t="n">
        <v>1995</v>
      </c>
      <c r="K25" s="4" t="inlineStr">
        <is>
          <t>11/2026</t>
        </is>
      </c>
    </row>
    <row r="26">
      <c r="A26" s="3" t="n">
        <v>23</v>
      </c>
      <c r="B26" s="4" t="inlineStr">
        <is>
          <t>Itra-Albert 200mg Cap</t>
        </is>
      </c>
      <c r="C26" s="4" t="inlineStr">
        <is>
          <t>Antifungal</t>
        </is>
      </c>
      <c r="D26" s="5" t="n">
        <v>225</v>
      </c>
      <c r="E26" s="5" t="n">
        <v>160</v>
      </c>
      <c r="F26" s="3" t="n">
        <v>26</v>
      </c>
      <c r="G26" s="3" t="n">
        <v>39</v>
      </c>
      <c r="H26" s="3" t="n">
        <v>40</v>
      </c>
      <c r="I26" s="3" t="n">
        <v>25</v>
      </c>
      <c r="J26" s="5" t="n">
        <v>9000</v>
      </c>
      <c r="K26" s="4" t="inlineStr">
        <is>
          <t>04/2026</t>
        </is>
      </c>
    </row>
    <row r="27">
      <c r="A27" s="3" t="n">
        <v>24</v>
      </c>
      <c r="B27" s="4" t="inlineStr">
        <is>
          <t>Alamin Plus Cap</t>
        </is>
      </c>
      <c r="C27" s="4" t="inlineStr">
        <is>
          <t>Protein / Supplement</t>
        </is>
      </c>
      <c r="D27" s="5" t="n">
        <v>131</v>
      </c>
      <c r="E27" s="5" t="n">
        <v>90</v>
      </c>
      <c r="F27" s="3" t="n">
        <v>41</v>
      </c>
      <c r="G27" s="3" t="n">
        <v>52</v>
      </c>
      <c r="H27" s="3" t="n">
        <v>26</v>
      </c>
      <c r="I27" s="3" t="n">
        <v>67</v>
      </c>
      <c r="J27" s="5" t="n">
        <v>3406</v>
      </c>
      <c r="K27" s="4" t="inlineStr">
        <is>
          <t>01/2026</t>
        </is>
      </c>
    </row>
    <row r="28">
      <c r="A28" s="3" t="n">
        <v>25</v>
      </c>
      <c r="B28" s="4" t="inlineStr">
        <is>
          <t>Patobert 40 Tab</t>
        </is>
      </c>
      <c r="C28" s="4" t="inlineStr">
        <is>
          <t>Gastric Care</t>
        </is>
      </c>
      <c r="D28" s="5" t="n">
        <v>110</v>
      </c>
      <c r="E28" s="5" t="n">
        <v>75</v>
      </c>
      <c r="F28" s="3" t="n">
        <v>76</v>
      </c>
      <c r="G28" s="3" t="n">
        <v>23</v>
      </c>
      <c r="H28" s="3" t="n">
        <v>74</v>
      </c>
      <c r="I28" s="3" t="n">
        <v>25</v>
      </c>
      <c r="J28" s="5" t="n">
        <v>8140</v>
      </c>
      <c r="K28" s="4" t="inlineStr">
        <is>
          <t>12/2026</t>
        </is>
      </c>
    </row>
    <row r="29">
      <c r="A29" s="3" t="n">
        <v>26</v>
      </c>
      <c r="B29" s="4" t="inlineStr">
        <is>
          <t>Mahanac Tab</t>
        </is>
      </c>
      <c r="C29" s="4" t="inlineStr">
        <is>
          <t>Pain Relief</t>
        </is>
      </c>
      <c r="D29" s="5" t="n">
        <v>72</v>
      </c>
      <c r="E29" s="5" t="n">
        <v>48</v>
      </c>
      <c r="F29" s="3" t="n">
        <v>70</v>
      </c>
      <c r="G29" s="3" t="n">
        <v>59</v>
      </c>
      <c r="H29" s="3" t="n">
        <v>54</v>
      </c>
      <c r="I29" s="3" t="n">
        <v>75</v>
      </c>
      <c r="J29" s="5" t="n">
        <v>3888</v>
      </c>
      <c r="K29" s="4" t="inlineStr">
        <is>
          <t>08/2026</t>
        </is>
      </c>
    </row>
    <row r="30">
      <c r="A30" s="3" t="n">
        <v>27</v>
      </c>
      <c r="B30" s="4" t="inlineStr">
        <is>
          <t>Rabalkem DSR Cap</t>
        </is>
      </c>
      <c r="C30" s="4" t="inlineStr">
        <is>
          <t>Gastric Care</t>
        </is>
      </c>
      <c r="D30" s="5" t="n">
        <v>183</v>
      </c>
      <c r="E30" s="5" t="n">
        <v>128</v>
      </c>
      <c r="F30" s="3" t="n">
        <v>47</v>
      </c>
      <c r="G30" s="3" t="n">
        <v>33</v>
      </c>
      <c r="H30" s="3" t="n">
        <v>28</v>
      </c>
      <c r="I30" s="3" t="n">
        <v>52</v>
      </c>
      <c r="J30" s="5" t="n">
        <v>5124</v>
      </c>
      <c r="K30" s="4" t="inlineStr">
        <is>
          <t>08/2026</t>
        </is>
      </c>
    </row>
    <row r="31">
      <c r="A31" s="3" t="n">
        <v>28</v>
      </c>
      <c r="B31" s="4" t="inlineStr">
        <is>
          <t>Chyawanprash 500g</t>
        </is>
      </c>
      <c r="C31" s="4" t="inlineStr">
        <is>
          <t>Ayurvedic</t>
        </is>
      </c>
      <c r="D31" s="5" t="n">
        <v>210</v>
      </c>
      <c r="E31" s="5" t="n">
        <v>150</v>
      </c>
      <c r="F31" s="3" t="n">
        <v>64</v>
      </c>
      <c r="G31" s="3" t="n">
        <v>70</v>
      </c>
      <c r="H31" s="3" t="n">
        <v>50</v>
      </c>
      <c r="I31" s="3" t="n">
        <v>84</v>
      </c>
      <c r="J31" s="5" t="n">
        <v>10500</v>
      </c>
      <c r="K31" s="4" t="inlineStr">
        <is>
          <t>09/2026</t>
        </is>
      </c>
    </row>
    <row r="32">
      <c r="A32" s="3" t="n">
        <v>29</v>
      </c>
      <c r="B32" s="4" t="inlineStr">
        <is>
          <t>Gentalab 30ml Inj</t>
        </is>
      </c>
      <c r="C32" s="4" t="inlineStr">
        <is>
          <t>Injectable</t>
        </is>
      </c>
      <c r="D32" s="5" t="n">
        <v>45</v>
      </c>
      <c r="E32" s="5" t="n">
        <v>28</v>
      </c>
      <c r="F32" s="3" t="n">
        <v>47</v>
      </c>
      <c r="G32" s="3" t="n">
        <v>78</v>
      </c>
      <c r="H32" s="3" t="n">
        <v>15</v>
      </c>
      <c r="I32" s="3" t="n">
        <v>110</v>
      </c>
      <c r="J32" s="5" t="n">
        <v>675</v>
      </c>
      <c r="K32" s="4" t="inlineStr">
        <is>
          <t>03/2026</t>
        </is>
      </c>
    </row>
    <row r="33">
      <c r="A33" s="3" t="n">
        <v>30</v>
      </c>
      <c r="B33" s="4" t="inlineStr">
        <is>
          <t>Moxib D Eye Drop</t>
        </is>
      </c>
      <c r="C33" s="4" t="inlineStr">
        <is>
          <t>Eye Care</t>
        </is>
      </c>
      <c r="D33" s="5" t="n">
        <v>110</v>
      </c>
      <c r="E33" s="5" t="n">
        <v>78</v>
      </c>
      <c r="F33" s="3" t="n">
        <v>74</v>
      </c>
      <c r="G33" s="3" t="n">
        <v>43</v>
      </c>
      <c r="H33" s="3" t="n">
        <v>18</v>
      </c>
      <c r="I33" s="3" t="n">
        <v>99</v>
      </c>
      <c r="J33" s="5" t="n">
        <v>1980</v>
      </c>
      <c r="K33" s="4" t="inlineStr">
        <is>
          <t>06/2026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Anand Pharma, Darbhanga — Combined ABC &amp; FSN Classification (Jan 2026 - June 2026 Total)</t>
        </is>
      </c>
    </row>
    <row r="3">
      <c r="A3" s="2" t="inlineStr">
        <is>
          <t>S.No</t>
        </is>
      </c>
      <c r="B3" s="2" t="inlineStr">
        <is>
          <t>Medicine Name</t>
        </is>
      </c>
      <c r="C3" s="2" t="inlineStr">
        <is>
          <t>Category</t>
        </is>
      </c>
      <c r="D3" s="2" t="inlineStr">
        <is>
          <t>MRP (₹)</t>
        </is>
      </c>
      <c r="E3" s="2" t="inlineStr">
        <is>
          <t>Purchase Rate (₹)</t>
        </is>
      </c>
      <c r="F3" s="2" t="inlineStr">
        <is>
          <t>Total 6M Sales Qty</t>
        </is>
      </c>
      <c r="G3" s="2" t="inlineStr">
        <is>
          <t>Total 6M Revenue (₹)</t>
        </is>
      </c>
      <c r="H3" s="2" t="inlineStr">
        <is>
          <t>Cum. Revenue %</t>
        </is>
      </c>
      <c r="I3" s="2" t="inlineStr">
        <is>
          <t>ABC Category</t>
        </is>
      </c>
      <c r="J3" s="2" t="inlineStr">
        <is>
          <t>FSN Category</t>
        </is>
      </c>
      <c r="K3" s="2" t="inlineStr">
        <is>
          <t>Expiry Risk Level</t>
        </is>
      </c>
    </row>
    <row r="4">
      <c r="A4" s="4" t="n">
        <v>1</v>
      </c>
      <c r="B4" s="4" t="inlineStr">
        <is>
          <t>Ceroxim CV 500 Tab</t>
        </is>
      </c>
      <c r="C4" s="4" t="inlineStr">
        <is>
          <t>Antibiotic</t>
        </is>
      </c>
      <c r="D4" s="5" t="n">
        <v>480</v>
      </c>
      <c r="E4" s="5" t="n">
        <v>340</v>
      </c>
      <c r="F4" s="4" t="n">
        <v>241</v>
      </c>
      <c r="G4" s="5" t="n">
        <v>115680</v>
      </c>
      <c r="H4" s="4" t="inlineStr">
        <is>
          <t>8.86%</t>
        </is>
      </c>
      <c r="I4" s="4" t="inlineStr">
        <is>
          <t>Category A (High Value)</t>
        </is>
      </c>
      <c r="J4" s="4" t="inlineStr">
        <is>
          <t>Slow Moving (S)</t>
        </is>
      </c>
      <c r="K4" s="4" t="inlineStr">
        <is>
          <t>Low/Moderate</t>
        </is>
      </c>
    </row>
    <row r="5">
      <c r="A5" s="4" t="n">
        <v>2</v>
      </c>
      <c r="B5" s="4" t="inlineStr">
        <is>
          <t>Chyawanprash 2KG</t>
        </is>
      </c>
      <c r="C5" s="4" t="inlineStr">
        <is>
          <t>Ayurvedic / Immunity</t>
        </is>
      </c>
      <c r="D5" s="5" t="n">
        <v>450</v>
      </c>
      <c r="E5" s="5" t="n">
        <v>330</v>
      </c>
      <c r="F5" s="4" t="n">
        <v>218</v>
      </c>
      <c r="G5" s="5" t="n">
        <v>98100</v>
      </c>
      <c r="H5" s="4" t="inlineStr">
        <is>
          <t>16.37%</t>
        </is>
      </c>
      <c r="I5" s="4" t="inlineStr">
        <is>
          <t>Category A (High Value)</t>
        </is>
      </c>
      <c r="J5" s="4" t="inlineStr">
        <is>
          <t>Slow Moving (S)</t>
        </is>
      </c>
      <c r="K5" s="4" t="inlineStr">
        <is>
          <t>Low/Moderate</t>
        </is>
      </c>
    </row>
    <row r="6">
      <c r="A6" s="4" t="n">
        <v>3</v>
      </c>
      <c r="B6" s="4" t="inlineStr">
        <is>
          <t>Abzolid 600 Tab</t>
        </is>
      </c>
      <c r="C6" s="4" t="inlineStr">
        <is>
          <t>Antibiotic</t>
        </is>
      </c>
      <c r="D6" s="5" t="n">
        <v>406</v>
      </c>
      <c r="E6" s="5" t="n">
        <v>285</v>
      </c>
      <c r="F6" s="4" t="n">
        <v>228</v>
      </c>
      <c r="G6" s="5" t="n">
        <v>92568</v>
      </c>
      <c r="H6" s="4" t="inlineStr">
        <is>
          <t>23.46%</t>
        </is>
      </c>
      <c r="I6" s="4" t="inlineStr">
        <is>
          <t>Category A (High Value)</t>
        </is>
      </c>
      <c r="J6" s="4" t="inlineStr">
        <is>
          <t>Slow Moving (S)</t>
        </is>
      </c>
      <c r="K6" s="4" t="inlineStr">
        <is>
          <t>Low/Moderate</t>
        </is>
      </c>
    </row>
    <row r="7">
      <c r="A7" s="4" t="n">
        <v>4</v>
      </c>
      <c r="B7" s="4" t="inlineStr">
        <is>
          <t>Chymotas Forte Tab</t>
        </is>
      </c>
      <c r="C7" s="4" t="inlineStr">
        <is>
          <t>Pain / Swelling</t>
        </is>
      </c>
      <c r="D7" s="5" t="n">
        <v>370</v>
      </c>
      <c r="E7" s="5" t="n">
        <v>260</v>
      </c>
      <c r="F7" s="4" t="n">
        <v>185</v>
      </c>
      <c r="G7" s="5" t="n">
        <v>68450</v>
      </c>
      <c r="H7" s="4" t="inlineStr">
        <is>
          <t>28.71%</t>
        </is>
      </c>
      <c r="I7" s="4" t="inlineStr">
        <is>
          <t>Category A (High Value)</t>
        </is>
      </c>
      <c r="J7" s="4" t="inlineStr">
        <is>
          <t>Non Moving (N)</t>
        </is>
      </c>
      <c r="K7" s="4" t="inlineStr">
        <is>
          <t>Low/Moderate</t>
        </is>
      </c>
    </row>
    <row r="8">
      <c r="A8" s="4" t="n">
        <v>5</v>
      </c>
      <c r="B8" s="4" t="inlineStr">
        <is>
          <t>Deca-Intabolin 50mg Inj</t>
        </is>
      </c>
      <c r="C8" s="4" t="inlineStr">
        <is>
          <t>Steroid / Inj</t>
        </is>
      </c>
      <c r="D8" s="5" t="n">
        <v>280</v>
      </c>
      <c r="E8" s="5" t="n">
        <v>195</v>
      </c>
      <c r="F8" s="4" t="n">
        <v>232</v>
      </c>
      <c r="G8" s="5" t="n">
        <v>64960</v>
      </c>
      <c r="H8" s="4" t="inlineStr">
        <is>
          <t>33.68%</t>
        </is>
      </c>
      <c r="I8" s="4" t="inlineStr">
        <is>
          <t>Category A (High Value)</t>
        </is>
      </c>
      <c r="J8" s="4" t="inlineStr">
        <is>
          <t>Slow Moving (S)</t>
        </is>
      </c>
      <c r="K8" s="4" t="inlineStr">
        <is>
          <t>Low/Moderate</t>
        </is>
      </c>
    </row>
    <row r="9">
      <c r="A9" s="4" t="n">
        <v>6</v>
      </c>
      <c r="B9" s="4" t="inlineStr">
        <is>
          <t>Calbert K27 Cap</t>
        </is>
      </c>
      <c r="C9" s="4" t="inlineStr">
        <is>
          <t>Calcium / Supplement</t>
        </is>
      </c>
      <c r="D9" s="5" t="n">
        <v>247</v>
      </c>
      <c r="E9" s="5" t="n">
        <v>175</v>
      </c>
      <c r="F9" s="4" t="n">
        <v>245</v>
      </c>
      <c r="G9" s="5" t="n">
        <v>60515</v>
      </c>
      <c r="H9" s="4" t="inlineStr">
        <is>
          <t>38.32%</t>
        </is>
      </c>
      <c r="I9" s="4" t="inlineStr">
        <is>
          <t>Category A (High Value)</t>
        </is>
      </c>
      <c r="J9" s="4" t="inlineStr">
        <is>
          <t>Slow Moving (S)</t>
        </is>
      </c>
      <c r="K9" s="4" t="inlineStr">
        <is>
          <t>Low/Moderate</t>
        </is>
      </c>
    </row>
    <row r="10">
      <c r="A10" s="4" t="n">
        <v>7</v>
      </c>
      <c r="B10" s="4" t="inlineStr">
        <is>
          <t>Rabitec DSR Cap</t>
        </is>
      </c>
      <c r="C10" s="4" t="inlineStr">
        <is>
          <t>Gastric Care</t>
        </is>
      </c>
      <c r="D10" s="5" t="n">
        <v>185</v>
      </c>
      <c r="E10" s="5" t="n">
        <v>130</v>
      </c>
      <c r="F10" s="4" t="n">
        <v>317</v>
      </c>
      <c r="G10" s="5" t="n">
        <v>58645</v>
      </c>
      <c r="H10" s="4" t="inlineStr">
        <is>
          <t>42.81%</t>
        </is>
      </c>
      <c r="I10" s="4" t="inlineStr">
        <is>
          <t>Category A (High Value)</t>
        </is>
      </c>
      <c r="J10" s="4" t="inlineStr">
        <is>
          <t>Fast Moving (F)</t>
        </is>
      </c>
      <c r="K10" s="4" t="inlineStr">
        <is>
          <t>Low/Moderate</t>
        </is>
      </c>
    </row>
    <row r="11">
      <c r="A11" s="4" t="n">
        <v>8</v>
      </c>
      <c r="B11" s="4" t="inlineStr">
        <is>
          <t>Itra-Albert 200mg Cap</t>
        </is>
      </c>
      <c r="C11" s="4" t="inlineStr">
        <is>
          <t>Antifungal</t>
        </is>
      </c>
      <c r="D11" s="5" t="n">
        <v>225</v>
      </c>
      <c r="E11" s="5" t="n">
        <v>160</v>
      </c>
      <c r="F11" s="4" t="n">
        <v>259</v>
      </c>
      <c r="G11" s="5" t="n">
        <v>58275</v>
      </c>
      <c r="H11" s="4" t="inlineStr">
        <is>
          <t>47.27%</t>
        </is>
      </c>
      <c r="I11" s="4" t="inlineStr">
        <is>
          <t>Category A (High Value)</t>
        </is>
      </c>
      <c r="J11" s="4" t="inlineStr">
        <is>
          <t>Fast Moving (F)</t>
        </is>
      </c>
      <c r="K11" s="4" t="inlineStr">
        <is>
          <t>Low/Moderate</t>
        </is>
      </c>
    </row>
    <row r="12">
      <c r="A12" s="4" t="n">
        <v>9</v>
      </c>
      <c r="B12" s="4" t="inlineStr">
        <is>
          <t>Montas FX Tab</t>
        </is>
      </c>
      <c r="C12" s="4" t="inlineStr">
        <is>
          <t>Respiratory / Allergy</t>
        </is>
      </c>
      <c r="D12" s="5" t="n">
        <v>210</v>
      </c>
      <c r="E12" s="5" t="n">
        <v>148</v>
      </c>
      <c r="F12" s="4" t="n">
        <v>236</v>
      </c>
      <c r="G12" s="5" t="n">
        <v>49560</v>
      </c>
      <c r="H12" s="4" t="inlineStr">
        <is>
          <t>51.07%</t>
        </is>
      </c>
      <c r="I12" s="4" t="inlineStr">
        <is>
          <t>Category A (High Value)</t>
        </is>
      </c>
      <c r="J12" s="4" t="inlineStr">
        <is>
          <t>Slow Moving (S)</t>
        </is>
      </c>
      <c r="K12" s="4" t="inlineStr">
        <is>
          <t>Low/Moderate</t>
        </is>
      </c>
    </row>
    <row r="13">
      <c r="A13" s="4" t="n">
        <v>10</v>
      </c>
      <c r="B13" s="4" t="inlineStr">
        <is>
          <t>Calbert D3 60K Cap</t>
        </is>
      </c>
      <c r="C13" s="4" t="inlineStr">
        <is>
          <t>Vitamin / Supplement</t>
        </is>
      </c>
      <c r="D13" s="5" t="n">
        <v>198</v>
      </c>
      <c r="E13" s="5" t="n">
        <v>135</v>
      </c>
      <c r="F13" s="4" t="n">
        <v>246</v>
      </c>
      <c r="G13" s="5" t="n">
        <v>48708</v>
      </c>
      <c r="H13" s="4" t="inlineStr">
        <is>
          <t>54.80%</t>
        </is>
      </c>
      <c r="I13" s="4" t="inlineStr">
        <is>
          <t>Category A (High Value)</t>
        </is>
      </c>
      <c r="J13" s="4" t="inlineStr">
        <is>
          <t>Slow Moving (S)</t>
        </is>
      </c>
      <c r="K13" s="4" t="inlineStr">
        <is>
          <t>Low/Moderate</t>
        </is>
      </c>
    </row>
    <row r="14">
      <c r="A14" s="4" t="n">
        <v>11</v>
      </c>
      <c r="B14" s="4" t="inlineStr">
        <is>
          <t>Montas L Tab (10s)</t>
        </is>
      </c>
      <c r="C14" s="4" t="inlineStr">
        <is>
          <t>Respiratory / Cold</t>
        </is>
      </c>
      <c r="D14" s="5" t="n">
        <v>165</v>
      </c>
      <c r="E14" s="5" t="n">
        <v>115</v>
      </c>
      <c r="F14" s="4" t="n">
        <v>288</v>
      </c>
      <c r="G14" s="5" t="n">
        <v>47520</v>
      </c>
      <c r="H14" s="4" t="inlineStr">
        <is>
          <t>58.44%</t>
        </is>
      </c>
      <c r="I14" s="4" t="inlineStr">
        <is>
          <t>Category A (High Value)</t>
        </is>
      </c>
      <c r="J14" s="4" t="inlineStr">
        <is>
          <t>Fast Moving (F)</t>
        </is>
      </c>
      <c r="K14" s="4" t="inlineStr">
        <is>
          <t>Low/Moderate</t>
        </is>
      </c>
    </row>
    <row r="15">
      <c r="A15" s="4" t="n">
        <v>12</v>
      </c>
      <c r="B15" s="4" t="inlineStr">
        <is>
          <t>Ketomac Shampoo 100ml</t>
        </is>
      </c>
      <c r="C15" s="4" t="inlineStr">
        <is>
          <t>Dermatology</t>
        </is>
      </c>
      <c r="D15" s="5" t="n">
        <v>220</v>
      </c>
      <c r="E15" s="5" t="n">
        <v>155</v>
      </c>
      <c r="F15" s="4" t="n">
        <v>216</v>
      </c>
      <c r="G15" s="5" t="n">
        <v>47520</v>
      </c>
      <c r="H15" s="4" t="inlineStr">
        <is>
          <t>62.08%</t>
        </is>
      </c>
      <c r="I15" s="4" t="inlineStr">
        <is>
          <t>Category A (High Value)</t>
        </is>
      </c>
      <c r="J15" s="4" t="inlineStr">
        <is>
          <t>Slow Moving (S)</t>
        </is>
      </c>
      <c r="K15" s="4" t="inlineStr">
        <is>
          <t>Low/Moderate</t>
        </is>
      </c>
    </row>
    <row r="16">
      <c r="A16" s="4" t="n">
        <v>13</v>
      </c>
      <c r="B16" s="4" t="inlineStr">
        <is>
          <t>Rabalkem DSR Cap</t>
        </is>
      </c>
      <c r="C16" s="4" t="inlineStr">
        <is>
          <t>Gastric Care</t>
        </is>
      </c>
      <c r="D16" s="5" t="n">
        <v>183</v>
      </c>
      <c r="E16" s="5" t="n">
        <v>128</v>
      </c>
      <c r="F16" s="4" t="n">
        <v>248</v>
      </c>
      <c r="G16" s="5" t="n">
        <v>45384</v>
      </c>
      <c r="H16" s="4" t="inlineStr">
        <is>
          <t>65.55%</t>
        </is>
      </c>
      <c r="I16" s="4" t="inlineStr">
        <is>
          <t>Category A (High Value)</t>
        </is>
      </c>
      <c r="J16" s="4" t="inlineStr">
        <is>
          <t>Slow Moving (S)</t>
        </is>
      </c>
      <c r="K16" s="4" t="inlineStr">
        <is>
          <t>Low/Moderate</t>
        </is>
      </c>
    </row>
    <row r="17">
      <c r="A17" s="4" t="n">
        <v>14</v>
      </c>
      <c r="B17" s="4" t="inlineStr">
        <is>
          <t>Moxabert CV 625 Tab</t>
        </is>
      </c>
      <c r="C17" s="4" t="inlineStr">
        <is>
          <t>Antibiotic</t>
        </is>
      </c>
      <c r="D17" s="5" t="n">
        <v>225</v>
      </c>
      <c r="E17" s="5" t="n">
        <v>160</v>
      </c>
      <c r="F17" s="4" t="n">
        <v>199</v>
      </c>
      <c r="G17" s="5" t="n">
        <v>44775</v>
      </c>
      <c r="H17" s="4" t="inlineStr">
        <is>
          <t>68.98%</t>
        </is>
      </c>
      <c r="I17" s="4" t="inlineStr">
        <is>
          <t>Category A (High Value)</t>
        </is>
      </c>
      <c r="J17" s="4" t="inlineStr">
        <is>
          <t>Slow Moving (S)</t>
        </is>
      </c>
      <c r="K17" s="4" t="inlineStr">
        <is>
          <t>Low/Moderate</t>
        </is>
      </c>
    </row>
    <row r="18">
      <c r="A18" s="4" t="n">
        <v>15</v>
      </c>
      <c r="B18" s="4" t="inlineStr">
        <is>
          <t>Chyawanprash 500g</t>
        </is>
      </c>
      <c r="C18" s="4" t="inlineStr">
        <is>
          <t>Ayurvedic</t>
        </is>
      </c>
      <c r="D18" s="5" t="n">
        <v>210</v>
      </c>
      <c r="E18" s="5" t="n">
        <v>150</v>
      </c>
      <c r="F18" s="4" t="n">
        <v>212</v>
      </c>
      <c r="G18" s="5" t="n">
        <v>44520</v>
      </c>
      <c r="H18" s="4" t="inlineStr">
        <is>
          <t>72.39%</t>
        </is>
      </c>
      <c r="I18" s="4" t="inlineStr">
        <is>
          <t>Category B (Moderate Value)</t>
        </is>
      </c>
      <c r="J18" s="4" t="inlineStr">
        <is>
          <t>Slow Moving (S)</t>
        </is>
      </c>
      <c r="K18" s="4" t="inlineStr">
        <is>
          <t>Low/Moderate</t>
        </is>
      </c>
    </row>
    <row r="19">
      <c r="A19" s="4" t="n">
        <v>16</v>
      </c>
      <c r="B19" s="4" t="inlineStr">
        <is>
          <t>Skinshine Ointment 30g</t>
        </is>
      </c>
      <c r="C19" s="4" t="inlineStr">
        <is>
          <t>Dermatology</t>
        </is>
      </c>
      <c r="D19" s="5" t="n">
        <v>149</v>
      </c>
      <c r="E19" s="5" t="n">
        <v>105</v>
      </c>
      <c r="F19" s="4" t="n">
        <v>253</v>
      </c>
      <c r="G19" s="5" t="n">
        <v>37697</v>
      </c>
      <c r="H19" s="4" t="inlineStr">
        <is>
          <t>75.28%</t>
        </is>
      </c>
      <c r="I19" s="4" t="inlineStr">
        <is>
          <t>Category B (Moderate Value)</t>
        </is>
      </c>
      <c r="J19" s="4" t="inlineStr">
        <is>
          <t>Fast Moving (F)</t>
        </is>
      </c>
      <c r="K19" s="4" t="inlineStr">
        <is>
          <t>Low/Moderate</t>
        </is>
      </c>
    </row>
    <row r="20">
      <c r="A20" s="4" t="n">
        <v>17</v>
      </c>
      <c r="B20" s="4" t="inlineStr">
        <is>
          <t>Lycozen Cap</t>
        </is>
      </c>
      <c r="C20" s="4" t="inlineStr">
        <is>
          <t>Multivitamin</t>
        </is>
      </c>
      <c r="D20" s="5" t="n">
        <v>175</v>
      </c>
      <c r="E20" s="5" t="n">
        <v>120</v>
      </c>
      <c r="F20" s="4" t="n">
        <v>215</v>
      </c>
      <c r="G20" s="5" t="n">
        <v>37625</v>
      </c>
      <c r="H20" s="4" t="inlineStr">
        <is>
          <t>78.16%</t>
        </is>
      </c>
      <c r="I20" s="4" t="inlineStr">
        <is>
          <t>Category B (Moderate Value)</t>
        </is>
      </c>
      <c r="J20" s="4" t="inlineStr">
        <is>
          <t>Slow Moving (S)</t>
        </is>
      </c>
      <c r="K20" s="4" t="inlineStr">
        <is>
          <t>Low/Moderate</t>
        </is>
      </c>
    </row>
    <row r="21">
      <c r="A21" s="4" t="n">
        <v>18</v>
      </c>
      <c r="B21" s="4" t="inlineStr">
        <is>
          <t>Sicflox CX Tab</t>
        </is>
      </c>
      <c r="C21" s="4" t="inlineStr">
        <is>
          <t>Antibiotic</t>
        </is>
      </c>
      <c r="D21" s="5" t="n">
        <v>135</v>
      </c>
      <c r="E21" s="5" t="n">
        <v>92</v>
      </c>
      <c r="F21" s="4" t="n">
        <v>259</v>
      </c>
      <c r="G21" s="5" t="n">
        <v>34965</v>
      </c>
      <c r="H21" s="4" t="inlineStr">
        <is>
          <t>80.84%</t>
        </is>
      </c>
      <c r="I21" s="4" t="inlineStr">
        <is>
          <t>Category B (Moderate Value)</t>
        </is>
      </c>
      <c r="J21" s="4" t="inlineStr">
        <is>
          <t>Fast Moving (F)</t>
        </is>
      </c>
      <c r="K21" s="4" t="inlineStr">
        <is>
          <t>Low/Moderate</t>
        </is>
      </c>
    </row>
    <row r="22">
      <c r="A22" s="4" t="n">
        <v>19</v>
      </c>
      <c r="B22" s="4" t="inlineStr">
        <is>
          <t>Pantobert D Tab</t>
        </is>
      </c>
      <c r="C22" s="4" t="inlineStr">
        <is>
          <t>Gastric Care</t>
        </is>
      </c>
      <c r="D22" s="5" t="n">
        <v>140</v>
      </c>
      <c r="E22" s="5" t="n">
        <v>95</v>
      </c>
      <c r="F22" s="4" t="n">
        <v>240</v>
      </c>
      <c r="G22" s="5" t="n">
        <v>33600</v>
      </c>
      <c r="H22" s="4" t="inlineStr">
        <is>
          <t>83.41%</t>
        </is>
      </c>
      <c r="I22" s="4" t="inlineStr">
        <is>
          <t>Category B (Moderate Value)</t>
        </is>
      </c>
      <c r="J22" s="4" t="inlineStr">
        <is>
          <t>Slow Moving (S)</t>
        </is>
      </c>
      <c r="K22" s="4" t="inlineStr">
        <is>
          <t>Low/Moderate</t>
        </is>
      </c>
    </row>
    <row r="23">
      <c r="A23" s="4" t="n">
        <v>20</v>
      </c>
      <c r="B23" s="4" t="inlineStr">
        <is>
          <t>Dolo Pain Spray</t>
        </is>
      </c>
      <c r="C23" s="4" t="inlineStr">
        <is>
          <t>Pain Relief</t>
        </is>
      </c>
      <c r="D23" s="5" t="n">
        <v>195</v>
      </c>
      <c r="E23" s="5" t="n">
        <v>140</v>
      </c>
      <c r="F23" s="4" t="n">
        <v>168</v>
      </c>
      <c r="G23" s="5" t="n">
        <v>32760</v>
      </c>
      <c r="H23" s="4" t="inlineStr">
        <is>
          <t>85.92%</t>
        </is>
      </c>
      <c r="I23" s="4" t="inlineStr">
        <is>
          <t>Category B (Moderate Value)</t>
        </is>
      </c>
      <c r="J23" s="4" t="inlineStr">
        <is>
          <t>Non Moving (N)</t>
        </is>
      </c>
      <c r="K23" s="4" t="inlineStr">
        <is>
          <t>Low/Moderate</t>
        </is>
      </c>
    </row>
    <row r="24">
      <c r="A24" s="4" t="n">
        <v>21</v>
      </c>
      <c r="B24" s="4" t="inlineStr">
        <is>
          <t>Intapeptin Syrup 60ml</t>
        </is>
      </c>
      <c r="C24" s="4" t="inlineStr">
        <is>
          <t>Pediatric Care</t>
        </is>
      </c>
      <c r="D24" s="5" t="n">
        <v>110</v>
      </c>
      <c r="E24" s="5" t="n">
        <v>76</v>
      </c>
      <c r="F24" s="4" t="n">
        <v>233</v>
      </c>
      <c r="G24" s="5" t="n">
        <v>25630</v>
      </c>
      <c r="H24" s="4" t="inlineStr">
        <is>
          <t>87.88%</t>
        </is>
      </c>
      <c r="I24" s="4" t="inlineStr">
        <is>
          <t>Category B (Moderate Value)</t>
        </is>
      </c>
      <c r="J24" s="4" t="inlineStr">
        <is>
          <t>Slow Moving (S)</t>
        </is>
      </c>
      <c r="K24" s="4" t="inlineStr">
        <is>
          <t>Low/Moderate</t>
        </is>
      </c>
    </row>
    <row r="25">
      <c r="A25" s="4" t="n">
        <v>22</v>
      </c>
      <c r="B25" s="4" t="inlineStr">
        <is>
          <t>Patobert 40 Tab</t>
        </is>
      </c>
      <c r="C25" s="4" t="inlineStr">
        <is>
          <t>Gastric Care</t>
        </is>
      </c>
      <c r="D25" s="5" t="n">
        <v>110</v>
      </c>
      <c r="E25" s="5" t="n">
        <v>75</v>
      </c>
      <c r="F25" s="4" t="n">
        <v>233</v>
      </c>
      <c r="G25" s="5" t="n">
        <v>25630</v>
      </c>
      <c r="H25" s="4" t="inlineStr">
        <is>
          <t>89.85%</t>
        </is>
      </c>
      <c r="I25" s="4" t="inlineStr">
        <is>
          <t>Category B (Moderate Value)</t>
        </is>
      </c>
      <c r="J25" s="4" t="inlineStr">
        <is>
          <t>Slow Moving (S)</t>
        </is>
      </c>
      <c r="K25" s="4" t="inlineStr">
        <is>
          <t>Low/Moderate</t>
        </is>
      </c>
    </row>
    <row r="26">
      <c r="A26" s="4" t="n">
        <v>23</v>
      </c>
      <c r="B26" s="4" t="inlineStr">
        <is>
          <t>Alamin Plus Cap</t>
        </is>
      </c>
      <c r="C26" s="4" t="inlineStr">
        <is>
          <t>Protein / Supplement</t>
        </is>
      </c>
      <c r="D26" s="5" t="n">
        <v>131</v>
      </c>
      <c r="E26" s="5" t="n">
        <v>90</v>
      </c>
      <c r="F26" s="4" t="n">
        <v>170</v>
      </c>
      <c r="G26" s="5" t="n">
        <v>22270</v>
      </c>
      <c r="H26" s="4" t="inlineStr">
        <is>
          <t>91.55%</t>
        </is>
      </c>
      <c r="I26" s="4" t="inlineStr">
        <is>
          <t>Category C (Low Value)</t>
        </is>
      </c>
      <c r="J26" s="4" t="inlineStr">
        <is>
          <t>Non Moving (N)</t>
        </is>
      </c>
      <c r="K26" s="4" t="inlineStr">
        <is>
          <t>Low/Moderate</t>
        </is>
      </c>
    </row>
    <row r="27">
      <c r="A27" s="4" t="n">
        <v>24</v>
      </c>
      <c r="B27" s="4" t="inlineStr">
        <is>
          <t>Moxeb Eye Drop</t>
        </is>
      </c>
      <c r="C27" s="4" t="inlineStr">
        <is>
          <t>Eye Care</t>
        </is>
      </c>
      <c r="D27" s="5" t="n">
        <v>90</v>
      </c>
      <c r="E27" s="5" t="n">
        <v>62</v>
      </c>
      <c r="F27" s="4" t="n">
        <v>205</v>
      </c>
      <c r="G27" s="5" t="n">
        <v>18450</v>
      </c>
      <c r="H27" s="4" t="inlineStr">
        <is>
          <t>92.97%</t>
        </is>
      </c>
      <c r="I27" s="4" t="inlineStr">
        <is>
          <t>Category C (Low Value)</t>
        </is>
      </c>
      <c r="J27" s="4" t="inlineStr">
        <is>
          <t>Slow Moving (S)</t>
        </is>
      </c>
      <c r="K27" s="4" t="inlineStr">
        <is>
          <t>Low/Moderate</t>
        </is>
      </c>
    </row>
    <row r="28">
      <c r="A28" s="4" t="n">
        <v>25</v>
      </c>
      <c r="B28" s="4" t="inlineStr">
        <is>
          <t>Motinor LC Syrup 60ml</t>
        </is>
      </c>
      <c r="C28" s="4" t="inlineStr">
        <is>
          <t>Pediatric Care</t>
        </is>
      </c>
      <c r="D28" s="5" t="n">
        <v>95</v>
      </c>
      <c r="E28" s="5" t="n">
        <v>65</v>
      </c>
      <c r="F28" s="4" t="n">
        <v>193</v>
      </c>
      <c r="G28" s="5" t="n">
        <v>18335</v>
      </c>
      <c r="H28" s="4" t="inlineStr">
        <is>
          <t>94.37%</t>
        </is>
      </c>
      <c r="I28" s="4" t="inlineStr">
        <is>
          <t>Category C (Low Value)</t>
        </is>
      </c>
      <c r="J28" s="4" t="inlineStr">
        <is>
          <t>Slow Moving (S)</t>
        </is>
      </c>
      <c r="K28" s="4" t="inlineStr">
        <is>
          <t>Low/Moderate</t>
        </is>
      </c>
    </row>
    <row r="29">
      <c r="A29" s="4" t="n">
        <v>26</v>
      </c>
      <c r="B29" s="4" t="inlineStr">
        <is>
          <t>Clobeta GM 10g Cream</t>
        </is>
      </c>
      <c r="C29" s="4" t="inlineStr">
        <is>
          <t>Dermatology</t>
        </is>
      </c>
      <c r="D29" s="5" t="n">
        <v>85</v>
      </c>
      <c r="E29" s="5" t="n">
        <v>58</v>
      </c>
      <c r="F29" s="4" t="n">
        <v>212</v>
      </c>
      <c r="G29" s="5" t="n">
        <v>18020</v>
      </c>
      <c r="H29" s="4" t="inlineStr">
        <is>
          <t>95.75%</t>
        </is>
      </c>
      <c r="I29" s="4" t="inlineStr">
        <is>
          <t>Category C (Low Value)</t>
        </is>
      </c>
      <c r="J29" s="4" t="inlineStr">
        <is>
          <t>Slow Moving (S)</t>
        </is>
      </c>
      <c r="K29" s="4" t="inlineStr">
        <is>
          <t>Low/Moderate</t>
        </is>
      </c>
    </row>
    <row r="30">
      <c r="A30" s="4" t="n">
        <v>27</v>
      </c>
      <c r="B30" s="4" t="inlineStr">
        <is>
          <t>Moxib D Eye Drop</t>
        </is>
      </c>
      <c r="C30" s="4" t="inlineStr">
        <is>
          <t>Eye Care</t>
        </is>
      </c>
      <c r="D30" s="5" t="n">
        <v>110</v>
      </c>
      <c r="E30" s="5" t="n">
        <v>78</v>
      </c>
      <c r="F30" s="4" t="n">
        <v>152</v>
      </c>
      <c r="G30" s="5" t="n">
        <v>16720</v>
      </c>
      <c r="H30" s="4" t="inlineStr">
        <is>
          <t>97.03%</t>
        </is>
      </c>
      <c r="I30" s="4" t="inlineStr">
        <is>
          <t>Category C (Low Value)</t>
        </is>
      </c>
      <c r="J30" s="4" t="inlineStr">
        <is>
          <t>Non Moving (N)</t>
        </is>
      </c>
      <c r="K30" s="4" t="inlineStr">
        <is>
          <t>Low/Moderate</t>
        </is>
      </c>
    </row>
    <row r="31">
      <c r="A31" s="4" t="n">
        <v>28</v>
      </c>
      <c r="B31" s="4" t="inlineStr">
        <is>
          <t>Mahanac Tab</t>
        </is>
      </c>
      <c r="C31" s="4" t="inlineStr">
        <is>
          <t>Pain Relief</t>
        </is>
      </c>
      <c r="D31" s="5" t="n">
        <v>72</v>
      </c>
      <c r="E31" s="5" t="n">
        <v>48</v>
      </c>
      <c r="F31" s="4" t="n">
        <v>222</v>
      </c>
      <c r="G31" s="5" t="n">
        <v>15984</v>
      </c>
      <c r="H31" s="4" t="inlineStr">
        <is>
          <t>98.25%</t>
        </is>
      </c>
      <c r="I31" s="4" t="inlineStr">
        <is>
          <t>Category C (Low Value)</t>
        </is>
      </c>
      <c r="J31" s="4" t="inlineStr">
        <is>
          <t>Slow Moving (S)</t>
        </is>
      </c>
      <c r="K31" s="4" t="inlineStr">
        <is>
          <t>Low/Moderate</t>
        </is>
      </c>
    </row>
    <row r="32">
      <c r="A32" s="4" t="n">
        <v>29</v>
      </c>
      <c r="B32" s="4" t="inlineStr">
        <is>
          <t>Dexalife Inj 30ml</t>
        </is>
      </c>
      <c r="C32" s="4" t="inlineStr">
        <is>
          <t>Injectable</t>
        </is>
      </c>
      <c r="D32" s="5" t="n">
        <v>73</v>
      </c>
      <c r="E32" s="5" t="n">
        <v>48</v>
      </c>
      <c r="F32" s="4" t="n">
        <v>208</v>
      </c>
      <c r="G32" s="5" t="n">
        <v>15184</v>
      </c>
      <c r="H32" s="4" t="inlineStr">
        <is>
          <t>99.42%</t>
        </is>
      </c>
      <c r="I32" s="4" t="inlineStr">
        <is>
          <t>Category C (Low Value)</t>
        </is>
      </c>
      <c r="J32" s="4" t="inlineStr">
        <is>
          <t>Slow Moving (S)</t>
        </is>
      </c>
      <c r="K32" s="4" t="inlineStr">
        <is>
          <t>Low/Moderate</t>
        </is>
      </c>
    </row>
    <row r="33">
      <c r="A33" s="4" t="n">
        <v>30</v>
      </c>
      <c r="B33" s="4" t="inlineStr">
        <is>
          <t>Gentalab 30ml Inj</t>
        </is>
      </c>
      <c r="C33" s="4" t="inlineStr">
        <is>
          <t>Injectable</t>
        </is>
      </c>
      <c r="D33" s="5" t="n">
        <v>45</v>
      </c>
      <c r="E33" s="5" t="n">
        <v>28</v>
      </c>
      <c r="F33" s="4" t="n">
        <v>169</v>
      </c>
      <c r="G33" s="5" t="n">
        <v>7605</v>
      </c>
      <c r="H33" s="4" t="inlineStr">
        <is>
          <t>100.00%</t>
        </is>
      </c>
      <c r="I33" s="4" t="inlineStr">
        <is>
          <t>Category C (Low Value)</t>
        </is>
      </c>
      <c r="J33" s="4" t="inlineStr">
        <is>
          <t>Non Moving (N)</t>
        </is>
      </c>
      <c r="K33" s="4" t="inlineStr">
        <is>
          <t>Low/Moderate</t>
        </is>
      </c>
    </row>
    <row r="36">
      <c r="A36" s="6" t="inlineStr">
        <is>
          <t>3.2 Descriptive Statistics &amp; Quantitative Summary (30 Medicine SKUs)</t>
        </is>
      </c>
    </row>
    <row r="37">
      <c r="A37" s="7" t="inlineStr">
        <is>
          <t>Statistical Metric</t>
        </is>
      </c>
      <c r="B37" s="7" t="inlineStr">
        <is>
          <t>MRP (₹)</t>
        </is>
      </c>
      <c r="C37" s="7" t="inlineStr">
        <is>
          <t>Purchase Price (₹)</t>
        </is>
      </c>
      <c r="D37" s="7" t="inlineStr">
        <is>
          <t>6M Sales Qty (Strips)</t>
        </is>
      </c>
      <c r="E37" s="7" t="inlineStr">
        <is>
          <t>6M Total Revenue (₹)</t>
        </is>
      </c>
    </row>
    <row r="38">
      <c r="A38" s="8" t="inlineStr">
        <is>
          <t>Sample Count (N)</t>
        </is>
      </c>
      <c r="B38" s="10">
        <f>COUNT(D4:D33)</f>
        <v/>
      </c>
      <c r="C38" s="10">
        <f>COUNT(E4:E33)</f>
        <v/>
      </c>
      <c r="D38" s="10">
        <f>COUNT(F4:F33)</f>
        <v/>
      </c>
      <c r="E38" s="10">
        <f>COUNT(G4:G33)</f>
        <v/>
      </c>
    </row>
    <row r="39">
      <c r="A39" s="8" t="inlineStr">
        <is>
          <t>Mean (Average)</t>
        </is>
      </c>
      <c r="B39" s="9">
        <f>AVERAGE(D4:D33)</f>
        <v/>
      </c>
      <c r="C39" s="9">
        <f>AVERAGE(E4:E33)</f>
        <v/>
      </c>
      <c r="D39" s="11">
        <f>AVERAGE(F4:F33)</f>
        <v/>
      </c>
      <c r="E39" s="9">
        <f>AVERAGE(G4:G33)</f>
        <v/>
      </c>
    </row>
    <row r="40">
      <c r="A40" s="8" t="inlineStr">
        <is>
          <t>Median</t>
        </is>
      </c>
      <c r="B40" s="9">
        <f>MEDIAN(D4:D33)</f>
        <v/>
      </c>
      <c r="C40" s="9">
        <f>MEDIAN(E4:E33)</f>
        <v/>
      </c>
      <c r="D40" s="11">
        <f>MEDIAN(F4:F33)</f>
        <v/>
      </c>
      <c r="E40" s="9">
        <f>MEDIAN(G4:G33)</f>
        <v/>
      </c>
    </row>
    <row r="41">
      <c r="A41" s="8" t="inlineStr">
        <is>
          <t>Standard Deviation</t>
        </is>
      </c>
      <c r="B41" s="9">
        <f>STDEV(D4:D33)</f>
        <v/>
      </c>
      <c r="C41" s="9">
        <f>STDEV(E4:E33)</f>
        <v/>
      </c>
      <c r="D41" s="11">
        <f>STDEV(F4:F33)</f>
        <v/>
      </c>
      <c r="E41" s="9">
        <f>STDEV(G4:G33)</f>
        <v/>
      </c>
    </row>
    <row r="42">
      <c r="A42" s="8" t="inlineStr">
        <is>
          <t>Minimum</t>
        </is>
      </c>
      <c r="B42" s="9">
        <f>MIN(D4:D33)</f>
        <v/>
      </c>
      <c r="C42" s="9">
        <f>MIN(E4:E33)</f>
        <v/>
      </c>
      <c r="D42" s="12">
        <f>MIN(F4:F33)</f>
        <v/>
      </c>
      <c r="E42" s="9">
        <f>MIN(G4:G33)</f>
        <v/>
      </c>
    </row>
    <row r="43">
      <c r="A43" s="8" t="inlineStr">
        <is>
          <t>Maximum</t>
        </is>
      </c>
      <c r="B43" s="9">
        <f>MAX(D4:D33)</f>
        <v/>
      </c>
      <c r="C43" s="9">
        <f>MAX(E4:E33)</f>
        <v/>
      </c>
      <c r="D43" s="12">
        <f>MAX(F4:F33)</f>
        <v/>
      </c>
      <c r="E43" s="9">
        <f>MAX(G4:G33)</f>
        <v/>
      </c>
    </row>
    <row r="44">
      <c r="A44" s="8" t="inlineStr">
        <is>
          <t>Range (Max - Min)</t>
        </is>
      </c>
      <c r="B44" s="9">
        <f>MAX(D4:D33)-MIN(D4:D33)</f>
        <v/>
      </c>
      <c r="C44" s="9">
        <f>MAX(E4:E33)-MIN(E4:E33)</f>
        <v/>
      </c>
      <c r="D44" s="12">
        <f>MAX(F4:F33)-MIN(F4:F33)</f>
        <v/>
      </c>
      <c r="E44" s="9">
        <f>MAX(G4:G33)-MIN(G4:G33)</f>
        <v/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Revenue (₹)</t>
        </is>
      </c>
      <c r="C1" t="inlineStr">
        <is>
          <t>Total Units Sold</t>
        </is>
      </c>
    </row>
    <row r="2">
      <c r="A2" t="inlineStr">
        <is>
          <t>Jan 2026</t>
        </is>
      </c>
      <c r="B2" t="n">
        <v>220925</v>
      </c>
      <c r="C2" t="n">
        <v>1070</v>
      </c>
    </row>
    <row r="3">
      <c r="A3" t="inlineStr">
        <is>
          <t>Feb 2026</t>
        </is>
      </c>
      <c r="B3" t="n">
        <v>214824</v>
      </c>
      <c r="C3" t="n">
        <v>1085</v>
      </c>
    </row>
    <row r="4">
      <c r="A4" t="inlineStr">
        <is>
          <t>Mar 2026</t>
        </is>
      </c>
      <c r="B4" t="n">
        <v>207518</v>
      </c>
      <c r="C4" t="n">
        <v>1128</v>
      </c>
    </row>
    <row r="5">
      <c r="A5" t="inlineStr">
        <is>
          <t>Apr 2026</t>
        </is>
      </c>
      <c r="B5" t="n">
        <v>197038</v>
      </c>
      <c r="C5" t="n">
        <v>991</v>
      </c>
    </row>
    <row r="6">
      <c r="A6" t="inlineStr">
        <is>
          <t>May 2026</t>
        </is>
      </c>
      <c r="B6" t="n">
        <v>243998</v>
      </c>
      <c r="C6" t="n">
        <v>1265</v>
      </c>
    </row>
    <row r="7">
      <c r="A7" t="inlineStr">
        <is>
          <t>June 2026</t>
        </is>
      </c>
      <c r="B7" t="n">
        <v>221352</v>
      </c>
      <c r="C7" t="n">
        <v>1163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3" t="inlineStr">
        <is>
          <t>Anand Pharma, Darbhanga — Primary Dataset Descriptive Statistics</t>
        </is>
      </c>
    </row>
    <row r="2">
      <c r="A2" s="14" t="inlineStr">
        <is>
          <t>Observation Period: January 2026 to June 2026 (N = 30 Medicine SKUs)</t>
        </is>
      </c>
    </row>
    <row r="4">
      <c r="A4" s="7" t="inlineStr">
        <is>
          <t>Statistical Metric</t>
        </is>
      </c>
      <c r="B4" s="7" t="inlineStr">
        <is>
          <t>MRP (₹)</t>
        </is>
      </c>
      <c r="C4" s="7" t="inlineStr">
        <is>
          <t>Purchase Price (₹)</t>
        </is>
      </c>
      <c r="D4" s="7" t="inlineStr">
        <is>
          <t>6M Sales Qty (Strips)</t>
        </is>
      </c>
      <c r="E4" s="7" t="inlineStr">
        <is>
          <t>6M Total Revenue (₹)</t>
        </is>
      </c>
    </row>
    <row r="5">
      <c r="A5" s="8" t="inlineStr">
        <is>
          <t>Sample Count (N)</t>
        </is>
      </c>
      <c r="B5" s="10">
        <f>COUNT('ABC &amp; FSN Analysis'!D4:D33)</f>
        <v/>
      </c>
      <c r="C5" s="10">
        <f>COUNT('ABC &amp; FSN Analysis'!E4:E33)</f>
        <v/>
      </c>
      <c r="D5" s="10">
        <f>COUNT('ABC &amp; FSN Analysis'!F4:F33)</f>
        <v/>
      </c>
      <c r="E5" s="10">
        <f>COUNT('ABC &amp; FSN Analysis'!G4:G33)</f>
        <v/>
      </c>
    </row>
    <row r="6">
      <c r="A6" s="8" t="inlineStr">
        <is>
          <t>Mean (Average)</t>
        </is>
      </c>
      <c r="B6" s="9">
        <f>AVERAGE('ABC &amp; FSN Analysis'!D4:D33)</f>
        <v/>
      </c>
      <c r="C6" s="9">
        <f>AVERAGE('ABC &amp; FSN Analysis'!E4:E33)</f>
        <v/>
      </c>
      <c r="D6" s="11">
        <f>AVERAGE('ABC &amp; FSN Analysis'!F4:F33)</f>
        <v/>
      </c>
      <c r="E6" s="9">
        <f>AVERAGE('ABC &amp; FSN Analysis'!G4:G33)</f>
        <v/>
      </c>
    </row>
    <row r="7">
      <c r="A7" s="8" t="inlineStr">
        <is>
          <t>Median</t>
        </is>
      </c>
      <c r="B7" s="9">
        <f>MEDIAN('ABC &amp; FSN Analysis'!D4:D33)</f>
        <v/>
      </c>
      <c r="C7" s="9">
        <f>MEDIAN('ABC &amp; FSN Analysis'!E4:E33)</f>
        <v/>
      </c>
      <c r="D7" s="11">
        <f>MEDIAN('ABC &amp; FSN Analysis'!F4:F33)</f>
        <v/>
      </c>
      <c r="E7" s="9">
        <f>MEDIAN('ABC &amp; FSN Analysis'!G4:G33)</f>
        <v/>
      </c>
    </row>
    <row r="8">
      <c r="A8" s="8" t="inlineStr">
        <is>
          <t>Standard Deviation</t>
        </is>
      </c>
      <c r="B8" s="9">
        <f>STDEV('ABC &amp; FSN Analysis'!D4:D33)</f>
        <v/>
      </c>
      <c r="C8" s="9">
        <f>STDEV('ABC &amp; FSN Analysis'!E4:E33)</f>
        <v/>
      </c>
      <c r="D8" s="11">
        <f>STDEV('ABC &amp; FSN Analysis'!F4:F33)</f>
        <v/>
      </c>
      <c r="E8" s="9">
        <f>STDEV('ABC &amp; FSN Analysis'!G4:G33)</f>
        <v/>
      </c>
    </row>
    <row r="9">
      <c r="A9" s="8" t="inlineStr">
        <is>
          <t>Minimum</t>
        </is>
      </c>
      <c r="B9" s="9">
        <f>MIN('ABC &amp; FSN Analysis'!D4:D33)</f>
        <v/>
      </c>
      <c r="C9" s="9">
        <f>MIN('ABC &amp; FSN Analysis'!E4:E33)</f>
        <v/>
      </c>
      <c r="D9" s="12">
        <f>MIN('ABC &amp; FSN Analysis'!F4:F33)</f>
        <v/>
      </c>
      <c r="E9" s="9">
        <f>MIN('ABC &amp; FSN Analysis'!G4:G33)</f>
        <v/>
      </c>
    </row>
    <row r="10">
      <c r="A10" s="8" t="inlineStr">
        <is>
          <t>Maximum</t>
        </is>
      </c>
      <c r="B10" s="9">
        <f>MAX('ABC &amp; FSN Analysis'!D4:D33)</f>
        <v/>
      </c>
      <c r="C10" s="9">
        <f>MAX('ABC &amp; FSN Analysis'!E4:E33)</f>
        <v/>
      </c>
      <c r="D10" s="12">
        <f>MAX('ABC &amp; FSN Analysis'!F4:F33)</f>
        <v/>
      </c>
      <c r="E10" s="9">
        <f>MAX('ABC &amp; FSN Analysis'!G4:G33)</f>
        <v/>
      </c>
    </row>
    <row r="11">
      <c r="A11" s="8" t="inlineStr">
        <is>
          <t>Range (Max - Min)</t>
        </is>
      </c>
      <c r="B11" s="9">
        <f>MAX('ABC &amp; FSN Analysis'!D4:D33)-MIN('ABC &amp; FSN Analysis'!D4:D33)</f>
        <v/>
      </c>
      <c r="C11" s="9">
        <f>MAX('ABC &amp; FSN Analysis'!E4:E33)-MIN('ABC &amp; FSN Analysis'!E4:E33)</f>
        <v/>
      </c>
      <c r="D11" s="12">
        <f>MAX('ABC &amp; FSN Analysis'!F4:F33)-MIN('ABC &amp; FSN Analysis'!F4:F33)</f>
        <v/>
      </c>
      <c r="E11" s="9">
        <f>MAX('ABC &amp; FSN Analysis'!G4:G33)-MIN('ABC &amp; FSN Analysis'!G4:G33)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2026-08-07T12:10:20Z</dcterms:created>
  <dcterms:modified xmlns:dcterms="http://purl.org/dc/terms/" xmlns:xsi="http://www.w3.org/2001/XMLSchema-instance" xsi:type="dcterms:W3CDTF">2026-08-08T10:42:04Z</dcterms:modified>
</cp:coreProperties>
</file>