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Invoice (24 Dec 20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TAX INVOICE — SONU PHARMA (PATNA)</t>
        </is>
      </c>
    </row>
    <row r="2">
      <c r="A2" s="2" t="inlineStr">
        <is>
          <t>E-11 MAHIMA PLACES, M ROAD PATNA-4 | GSTIN: 10BRQPK2981Q2Z4 | Phone: 9801920752</t>
        </is>
      </c>
    </row>
    <row r="4">
      <c r="A4" s="3" t="inlineStr">
        <is>
          <t>Billed To:</t>
        </is>
      </c>
      <c r="B4" s="3" t="inlineStr">
        <is>
          <t>M/s. ANAND PHARMA</t>
        </is>
      </c>
      <c r="G4" s="3" t="inlineStr">
        <is>
          <t>Invoice No:</t>
        </is>
      </c>
      <c r="H4" t="inlineStr">
        <is>
          <t>1000343</t>
        </is>
      </c>
    </row>
    <row r="5">
      <c r="A5" s="3" t="inlineStr">
        <is>
          <t>Address:</t>
        </is>
      </c>
      <c r="B5" t="inlineStr">
        <is>
          <t>V.I.P ROAD, ALLALPATTI, DARBHANGA, BIHAR (GSTIN: 10AEY3656A1Z4)</t>
        </is>
      </c>
      <c r="G5" s="3" t="inlineStr">
        <is>
          <t>Invoice Date:</t>
        </is>
      </c>
      <c r="H5" s="3" t="inlineStr">
        <is>
          <t>24-12-2025</t>
        </is>
      </c>
    </row>
    <row r="7" ht="24" customHeight="1">
      <c r="A7" s="4" t="inlineStr">
        <is>
          <t>S.No</t>
        </is>
      </c>
      <c r="B7" s="4" t="inlineStr">
        <is>
          <t>Product Name</t>
        </is>
      </c>
      <c r="C7" s="4" t="inlineStr">
        <is>
          <t>MFG / Pack</t>
        </is>
      </c>
      <c r="D7" s="4" t="inlineStr">
        <is>
          <t>Batch No</t>
        </is>
      </c>
      <c r="E7" s="4" t="inlineStr">
        <is>
          <t>Exp. Date</t>
        </is>
      </c>
      <c r="F7" s="4" t="inlineStr">
        <is>
          <t>MRP (₹)</t>
        </is>
      </c>
      <c r="G7" s="4" t="inlineStr">
        <is>
          <t>Purchase Rate (₹)</t>
        </is>
      </c>
      <c r="H7" s="4" t="inlineStr">
        <is>
          <t>Qty</t>
        </is>
      </c>
      <c r="I7" s="4" t="inlineStr">
        <is>
          <t>Total Amount (₹)</t>
        </is>
      </c>
    </row>
    <row r="8">
      <c r="A8" t="n">
        <v>1</v>
      </c>
      <c r="B8" t="inlineStr">
        <is>
          <t>ALBEMETH PLUS INJ</t>
        </is>
      </c>
      <c r="C8" t="inlineStr">
        <is>
          <t>ALBER:2ML</t>
        </is>
      </c>
      <c r="D8" t="inlineStr">
        <is>
          <t>D25AM252</t>
        </is>
      </c>
      <c r="E8" t="inlineStr">
        <is>
          <t>03/2026</t>
        </is>
      </c>
      <c r="F8" t="n">
        <v>131.7</v>
      </c>
      <c r="G8" t="n">
        <v>14</v>
      </c>
      <c r="H8" t="n">
        <v>20</v>
      </c>
      <c r="I8">
        <f>G8*H8</f>
        <v/>
      </c>
    </row>
    <row r="9">
      <c r="A9" t="n">
        <v>2</v>
      </c>
      <c r="B9" t="inlineStr">
        <is>
          <t>GLONIS AD 170 ML</t>
        </is>
      </c>
      <c r="C9" t="inlineStr">
        <is>
          <t>GLORI:1</t>
        </is>
      </c>
      <c r="D9" t="inlineStr">
        <is>
          <t>AE-2547</t>
        </is>
      </c>
      <c r="E9" t="inlineStr">
        <is>
          <t>09/2027</t>
        </is>
      </c>
      <c r="F9" t="n">
        <v>225</v>
      </c>
      <c r="G9" t="n">
        <v>60</v>
      </c>
      <c r="H9" t="n">
        <v>12</v>
      </c>
      <c r="I9">
        <f>G9*H9</f>
        <v/>
      </c>
    </row>
    <row r="10">
      <c r="A10" t="n">
        <v>3</v>
      </c>
      <c r="B10" t="inlineStr">
        <is>
          <t>ITRALBERT 200MG CAP</t>
        </is>
      </c>
      <c r="C10" t="inlineStr">
        <is>
          <t>ALBER:10*10</t>
        </is>
      </c>
      <c r="D10" t="inlineStr">
        <is>
          <t>DE25019</t>
        </is>
      </c>
      <c r="E10" t="inlineStr">
        <is>
          <t>05/2026</t>
        </is>
      </c>
      <c r="F10" t="n">
        <v>247.74</v>
      </c>
      <c r="G10" t="n">
        <v>68</v>
      </c>
      <c r="H10" t="n">
        <v>20</v>
      </c>
      <c r="I10">
        <f>G10*H10</f>
        <v/>
      </c>
    </row>
    <row r="11">
      <c r="A11" t="n">
        <v>4</v>
      </c>
      <c r="B11" t="inlineStr">
        <is>
          <t>KTSPERM 15GM</t>
        </is>
      </c>
      <c r="C11" t="inlineStr">
        <is>
          <t>LABOR:1*30</t>
        </is>
      </c>
      <c r="D11" t="inlineStr">
        <is>
          <t>NKR-2536</t>
        </is>
      </c>
      <c r="E11" t="inlineStr">
        <is>
          <t>11/2027</t>
        </is>
      </c>
      <c r="F11" t="n">
        <v>105</v>
      </c>
      <c r="G11" t="n">
        <v>13.75</v>
      </c>
      <c r="H11" t="n">
        <v>60</v>
      </c>
      <c r="I11">
        <f>G11*H11</f>
        <v/>
      </c>
    </row>
    <row r="12">
      <c r="A12" t="n">
        <v>5</v>
      </c>
      <c r="B12" t="inlineStr">
        <is>
          <t>KETOMAC SHAMPOO</t>
        </is>
      </c>
      <c r="C12" t="inlineStr">
        <is>
          <t>TORQU:75</t>
        </is>
      </c>
      <c r="D12" t="inlineStr">
        <is>
          <t>B259230</t>
        </is>
      </c>
      <c r="E12" t="inlineStr">
        <is>
          <t>08/2026</t>
        </is>
      </c>
      <c r="F12" t="n">
        <v>220</v>
      </c>
      <c r="G12" t="n">
        <v>130</v>
      </c>
      <c r="H12" t="n">
        <v>6</v>
      </c>
      <c r="I12">
        <f>G12*H12</f>
        <v/>
      </c>
    </row>
    <row r="13">
      <c r="A13" t="n">
        <v>6</v>
      </c>
      <c r="B13" t="inlineStr">
        <is>
          <t>CLOBETA GM 10GM</t>
        </is>
      </c>
      <c r="C13" t="inlineStr">
        <is>
          <t>LABOR:10</t>
        </is>
      </c>
      <c r="D13" t="inlineStr">
        <is>
          <t>NC-2574</t>
        </is>
      </c>
      <c r="E13" t="inlineStr">
        <is>
          <t>04/2027</t>
        </is>
      </c>
      <c r="F13" t="n">
        <v>73.75</v>
      </c>
      <c r="G13" t="n">
        <v>8.5</v>
      </c>
      <c r="H13" t="n">
        <v>144</v>
      </c>
      <c r="I13">
        <f>G13*H13</f>
        <v/>
      </c>
    </row>
    <row r="14">
      <c r="A14" t="n">
        <v>7</v>
      </c>
      <c r="B14" t="inlineStr">
        <is>
          <t>CALZAC CT CAP</t>
        </is>
      </c>
      <c r="C14" t="inlineStr">
        <is>
          <t>RANBA:200</t>
        </is>
      </c>
      <c r="D14" t="inlineStr">
        <is>
          <t>GPA25034</t>
        </is>
      </c>
      <c r="E14" t="inlineStr">
        <is>
          <t>07/2026</t>
        </is>
      </c>
      <c r="F14" t="n">
        <v>3450</v>
      </c>
      <c r="G14" t="n">
        <v>240</v>
      </c>
      <c r="H14" t="n">
        <v>3</v>
      </c>
      <c r="I14">
        <f>G14*H14</f>
        <v/>
      </c>
    </row>
    <row r="15">
      <c r="A15" t="n">
        <v>8</v>
      </c>
      <c r="B15" t="inlineStr">
        <is>
          <t>GENSOLIN TAB (20*10)</t>
        </is>
      </c>
      <c r="C15" t="inlineStr">
        <is>
          <t>MEDLE:200</t>
        </is>
      </c>
      <c r="D15" t="inlineStr">
        <is>
          <t>VD25030</t>
        </is>
      </c>
      <c r="E15" t="inlineStr">
        <is>
          <t>02/2027</t>
        </is>
      </c>
      <c r="F15" t="n">
        <v>3280</v>
      </c>
      <c r="G15" t="n">
        <v>240</v>
      </c>
      <c r="H15" t="n">
        <v>3</v>
      </c>
      <c r="I15">
        <f>G15*H15</f>
        <v/>
      </c>
    </row>
    <row r="16">
      <c r="A16" t="n">
        <v>9</v>
      </c>
      <c r="B16" t="inlineStr">
        <is>
          <t>MULTITEC CAP</t>
        </is>
      </c>
      <c r="C16" t="inlineStr">
        <is>
          <t>PEELI:20*10</t>
        </is>
      </c>
      <c r="D16" t="inlineStr">
        <is>
          <t>ALD-2585</t>
        </is>
      </c>
      <c r="E16" t="inlineStr">
        <is>
          <t>10/2026</t>
        </is>
      </c>
      <c r="F16" t="n">
        <v>3600</v>
      </c>
      <c r="G16" t="n">
        <v>190</v>
      </c>
      <c r="H16" t="n">
        <v>5</v>
      </c>
      <c r="I16">
        <f>G16*H16</f>
        <v/>
      </c>
    </row>
    <row r="17">
      <c r="A17" t="n">
        <v>10</v>
      </c>
      <c r="B17" t="inlineStr">
        <is>
          <t>RAJET LSR CAP</t>
        </is>
      </c>
      <c r="C17" t="inlineStr">
        <is>
          <t>NUEL:20*10</t>
        </is>
      </c>
      <c r="D17" t="inlineStr">
        <is>
          <t>WHC2519</t>
        </is>
      </c>
      <c r="E17" t="inlineStr">
        <is>
          <t>08/2026</t>
        </is>
      </c>
      <c r="F17" t="n">
        <v>198</v>
      </c>
      <c r="G17" t="n">
        <v>20</v>
      </c>
      <c r="H17" t="n">
        <v>100</v>
      </c>
      <c r="I17">
        <f>G17*H17</f>
        <v/>
      </c>
    </row>
    <row r="18">
      <c r="A18" t="n">
        <v>11</v>
      </c>
      <c r="B18" t="inlineStr">
        <is>
          <t>CALBERT K27 CAP</t>
        </is>
      </c>
      <c r="C18" t="inlineStr">
        <is>
          <t>ALBER:10*10</t>
        </is>
      </c>
      <c r="D18" t="inlineStr">
        <is>
          <t>VHD2506</t>
        </is>
      </c>
      <c r="E18" t="inlineStr">
        <is>
          <t>05/2027</t>
        </is>
      </c>
      <c r="F18" t="n">
        <v>2695</v>
      </c>
      <c r="G18" t="n">
        <v>325</v>
      </c>
      <c r="H18" t="n">
        <v>3</v>
      </c>
      <c r="I18">
        <f>G18*H18</f>
        <v/>
      </c>
    </row>
    <row r="19">
      <c r="A19" t="n">
        <v>12</v>
      </c>
      <c r="B19" t="inlineStr">
        <is>
          <t>PREGOUT-K1T</t>
        </is>
      </c>
      <c r="C19" t="inlineStr">
        <is>
          <t>MANKI:10*5</t>
        </is>
      </c>
      <c r="D19" t="inlineStr">
        <is>
          <t>AAA2581</t>
        </is>
      </c>
      <c r="E19" t="inlineStr">
        <is>
          <t>11/2026</t>
        </is>
      </c>
      <c r="F19" t="n">
        <v>4831</v>
      </c>
      <c r="G19" t="n">
        <v>410</v>
      </c>
      <c r="H19" t="n">
        <v>3</v>
      </c>
      <c r="I19">
        <f>G19*H19</f>
        <v/>
      </c>
    </row>
    <row r="20">
      <c r="A20" t="n">
        <v>13</v>
      </c>
      <c r="B20" t="inlineStr">
        <is>
          <t>DEXALIFE INJ 30ML</t>
        </is>
      </c>
      <c r="C20" t="inlineStr">
        <is>
          <t>SUNLI:30ML</t>
        </is>
      </c>
      <c r="D20" t="inlineStr">
        <is>
          <t>HLI2593</t>
        </is>
      </c>
      <c r="E20" t="inlineStr">
        <is>
          <t>04/2026</t>
        </is>
      </c>
      <c r="F20" t="n">
        <v>85</v>
      </c>
      <c r="G20" t="n">
        <v>15.75</v>
      </c>
      <c r="H20" t="n">
        <v>20</v>
      </c>
      <c r="I20">
        <f>G20*H20</f>
        <v/>
      </c>
    </row>
    <row r="21">
      <c r="A21" t="n">
        <v>14</v>
      </c>
      <c r="B21" t="inlineStr">
        <is>
          <t>GENTALIFE 30ML</t>
        </is>
      </c>
      <c r="C21" t="inlineStr">
        <is>
          <t>SUNLI:300*30</t>
        </is>
      </c>
      <c r="D21" t="inlineStr">
        <is>
          <t>HLI2514</t>
        </is>
      </c>
      <c r="E21" t="inlineStr">
        <is>
          <t>12/2027</t>
        </is>
      </c>
      <c r="F21" t="n">
        <v>72</v>
      </c>
      <c r="G21" t="n">
        <v>17.5</v>
      </c>
      <c r="H21" t="n">
        <v>10</v>
      </c>
      <c r="I21">
        <f>G21*H21</f>
        <v/>
      </c>
    </row>
    <row r="22">
      <c r="A22" t="n">
        <v>15</v>
      </c>
      <c r="B22" t="inlineStr">
        <is>
          <t>MOXIB EYE DROP</t>
        </is>
      </c>
      <c r="C22" t="inlineStr">
        <is>
          <t>MAY:10ML*2</t>
        </is>
      </c>
      <c r="D22" t="inlineStr">
        <is>
          <t>MO25H31</t>
        </is>
      </c>
      <c r="E22" t="inlineStr">
        <is>
          <t>07/2026</t>
        </is>
      </c>
      <c r="F22" t="n">
        <v>90</v>
      </c>
      <c r="G22" t="n">
        <v>11</v>
      </c>
      <c r="H22" t="n">
        <v>25</v>
      </c>
      <c r="I22">
        <f>G22*H22</f>
        <v/>
      </c>
    </row>
    <row r="23">
      <c r="A23" t="n">
        <v>16</v>
      </c>
      <c r="B23" t="inlineStr">
        <is>
          <t>MOXIB D EYE DROP</t>
        </is>
      </c>
      <c r="C23" t="inlineStr">
        <is>
          <t>MAY:10ML*2</t>
        </is>
      </c>
      <c r="D23" t="inlineStr">
        <is>
          <t>MO25H36</t>
        </is>
      </c>
      <c r="E23" t="inlineStr">
        <is>
          <t>07/2027</t>
        </is>
      </c>
      <c r="F23" t="n">
        <v>110</v>
      </c>
      <c r="G23" t="n">
        <v>12</v>
      </c>
      <c r="H23" t="n">
        <v>25</v>
      </c>
      <c r="I23">
        <f>G23*H23</f>
        <v/>
      </c>
    </row>
    <row r="24">
      <c r="A24" t="n">
        <v>17</v>
      </c>
      <c r="B24" t="inlineStr">
        <is>
          <t>MONTAS L TAB 30*10</t>
        </is>
      </c>
      <c r="C24" t="inlineStr">
        <is>
          <t>INTAS:30*10</t>
        </is>
      </c>
      <c r="D24" t="inlineStr">
        <is>
          <t>K250177</t>
        </is>
      </c>
      <c r="E24" t="inlineStr">
        <is>
          <t>08/2026</t>
        </is>
      </c>
      <c r="F24" t="n">
        <v>5340</v>
      </c>
      <c r="G24" t="n">
        <v>540</v>
      </c>
      <c r="H24" t="n">
        <v>1</v>
      </c>
      <c r="I24">
        <f>G24*H24</f>
        <v/>
      </c>
    </row>
    <row r="25">
      <c r="A25" t="n">
        <v>18</v>
      </c>
      <c r="B25" t="inlineStr">
        <is>
          <t>MONTAS-FX TAB</t>
        </is>
      </c>
      <c r="C25" t="inlineStr">
        <is>
          <t>INTAS:20*10</t>
        </is>
      </c>
      <c r="D25" t="inlineStr">
        <is>
          <t>DI25353</t>
        </is>
      </c>
      <c r="E25" t="inlineStr">
        <is>
          <t>09/2027</t>
        </is>
      </c>
      <c r="F25" t="n">
        <v>210</v>
      </c>
      <c r="G25" t="n">
        <v>34</v>
      </c>
      <c r="H25" t="n">
        <v>40</v>
      </c>
      <c r="I25">
        <f>G25*H25</f>
        <v/>
      </c>
    </row>
    <row r="26">
      <c r="A26" t="n">
        <v>19</v>
      </c>
      <c r="B26" t="inlineStr">
        <is>
          <t>LYCOZEN CAP</t>
        </is>
      </c>
      <c r="C26" t="inlineStr">
        <is>
          <t>MEDLE:20*10</t>
        </is>
      </c>
      <c r="D26" t="inlineStr">
        <is>
          <t>DPT-2504</t>
        </is>
      </c>
      <c r="E26" t="inlineStr">
        <is>
          <t>06/2026</t>
        </is>
      </c>
      <c r="F26" t="n">
        <v>3258</v>
      </c>
      <c r="G26" t="n">
        <v>275</v>
      </c>
      <c r="H26" t="n">
        <v>3</v>
      </c>
      <c r="I26">
        <f>G26*H26</f>
        <v/>
      </c>
    </row>
    <row r="27">
      <c r="A27" t="n">
        <v>20</v>
      </c>
      <c r="B27" t="inlineStr">
        <is>
          <t>RABITEC DSR</t>
        </is>
      </c>
      <c r="C27" t="inlineStr">
        <is>
          <t>CIPLA:100</t>
        </is>
      </c>
      <c r="D27" t="inlineStr">
        <is>
          <t>GL25993</t>
        </is>
      </c>
      <c r="E27" t="inlineStr">
        <is>
          <t>11/2026</t>
        </is>
      </c>
      <c r="F27" t="n">
        <v>2928.2</v>
      </c>
      <c r="G27" t="n">
        <v>25.5</v>
      </c>
      <c r="H27" t="n">
        <v>100</v>
      </c>
      <c r="I27">
        <f>G27*H27</f>
        <v/>
      </c>
    </row>
    <row r="28">
      <c r="A28" t="n">
        <v>21</v>
      </c>
      <c r="B28" t="inlineStr">
        <is>
          <t>PANEZ DSR CAP</t>
        </is>
      </c>
      <c r="C28" t="inlineStr">
        <is>
          <t>NDEL:20*10</t>
        </is>
      </c>
      <c r="D28" t="inlineStr">
        <is>
          <t>WHC2509</t>
        </is>
      </c>
      <c r="E28" t="inlineStr">
        <is>
          <t>08/2027</t>
        </is>
      </c>
      <c r="F28" t="n">
        <v>195</v>
      </c>
      <c r="G28" t="n">
        <v>11</v>
      </c>
      <c r="H28" t="n">
        <v>40</v>
      </c>
      <c r="I28">
        <f>G28*H28</f>
        <v/>
      </c>
    </row>
    <row r="29">
      <c r="A29" t="n">
        <v>22</v>
      </c>
      <c r="B29" t="inlineStr">
        <is>
          <t>DECA-INTABOLIN 50MG</t>
        </is>
      </c>
      <c r="C29" t="inlineStr">
        <is>
          <t>INTAS:1</t>
        </is>
      </c>
      <c r="D29" t="inlineStr">
        <is>
          <t>DEL25C15</t>
        </is>
      </c>
      <c r="E29" t="inlineStr">
        <is>
          <t>06/2026</t>
        </is>
      </c>
      <c r="F29" t="n">
        <v>406</v>
      </c>
      <c r="G29" t="n">
        <v>13.25</v>
      </c>
      <c r="H29" t="n">
        <v>30</v>
      </c>
      <c r="I29">
        <f>G29*H29</f>
        <v/>
      </c>
    </row>
    <row r="30">
      <c r="A30" t="n">
        <v>23</v>
      </c>
      <c r="B30" t="inlineStr">
        <is>
          <t>DECA-INTABOLIN-25</t>
        </is>
      </c>
      <c r="C30" t="inlineStr">
        <is>
          <t>INTAS:1</t>
        </is>
      </c>
      <c r="D30" t="inlineStr">
        <is>
          <t>DF25C08</t>
        </is>
      </c>
      <c r="E30" t="inlineStr">
        <is>
          <t>04/2027</t>
        </is>
      </c>
      <c r="F30" t="n">
        <v>281</v>
      </c>
      <c r="G30" t="n">
        <v>12.2</v>
      </c>
      <c r="H30" t="n">
        <v>10</v>
      </c>
      <c r="I30">
        <f>G30*H30</f>
        <v/>
      </c>
    </row>
    <row r="31">
      <c r="A31" t="n">
        <v>24</v>
      </c>
      <c r="B31" t="inlineStr">
        <is>
          <t>CEROXITUM CV 10*10 TAB</t>
        </is>
      </c>
      <c r="C31" t="inlineStr">
        <is>
          <t>INTAS:10*10</t>
        </is>
      </c>
      <c r="D31" t="inlineStr">
        <is>
          <t>CT-2528A</t>
        </is>
      </c>
      <c r="E31" t="inlineStr">
        <is>
          <t>03/2026</t>
        </is>
      </c>
      <c r="F31" t="n">
        <v>753.33</v>
      </c>
      <c r="G31" t="n">
        <v>230</v>
      </c>
      <c r="H31" t="n">
        <v>30</v>
      </c>
      <c r="I31">
        <f>G31*H31</f>
        <v/>
      </c>
    </row>
    <row r="32">
      <c r="A32" t="n">
        <v>25</v>
      </c>
      <c r="B32" t="inlineStr">
        <is>
          <t>ALBEMETH PLUS CAP</t>
        </is>
      </c>
      <c r="C32" t="inlineStr">
        <is>
          <t>ALBER:10</t>
        </is>
      </c>
      <c r="D32" t="inlineStr">
        <is>
          <t>DE25021</t>
        </is>
      </c>
      <c r="E32" t="inlineStr">
        <is>
          <t>09/2026</t>
        </is>
      </c>
      <c r="F32" t="n">
        <v>259</v>
      </c>
      <c r="G32" t="n">
        <v>41</v>
      </c>
      <c r="H32" t="n">
        <v>30</v>
      </c>
      <c r="I32">
        <f>G32*H32</f>
        <v/>
      </c>
    </row>
    <row r="33">
      <c r="A33" t="n">
        <v>26</v>
      </c>
      <c r="B33" t="inlineStr">
        <is>
          <t>SIOFLOX CX TAB</t>
        </is>
      </c>
      <c r="C33" t="inlineStr">
        <is>
          <t>ALBER:10*10</t>
        </is>
      </c>
      <c r="D33" t="inlineStr">
        <is>
          <t>BT-25092</t>
        </is>
      </c>
      <c r="E33" t="inlineStr">
        <is>
          <t>08/2027</t>
        </is>
      </c>
      <c r="F33" t="n">
        <v>1832</v>
      </c>
      <c r="G33" t="n">
        <v>555</v>
      </c>
      <c r="H33" t="n">
        <v>5</v>
      </c>
      <c r="I33">
        <f>G33*H33</f>
        <v/>
      </c>
    </row>
    <row r="34">
      <c r="A34" t="n">
        <v>27</v>
      </c>
      <c r="B34" t="inlineStr">
        <is>
          <t>DAVIBACTUM 1 GM VAIL</t>
        </is>
      </c>
      <c r="C34" t="inlineStr">
        <is>
          <t>ALBER:VAIL</t>
        </is>
      </c>
      <c r="D34" t="inlineStr">
        <is>
          <t>BI25201</t>
        </is>
      </c>
      <c r="E34" t="inlineStr">
        <is>
          <t>02/2026</t>
        </is>
      </c>
      <c r="F34" t="n">
        <v>332.75</v>
      </c>
      <c r="G34" t="n">
        <v>15</v>
      </c>
      <c r="H34" t="n">
        <v>60</v>
      </c>
      <c r="I34">
        <f>G34*H34</f>
        <v/>
      </c>
    </row>
    <row r="35">
      <c r="A35" t="n">
        <v>28</v>
      </c>
      <c r="B35" t="inlineStr">
        <is>
          <t>RABALKEM CAP DSR 20*10</t>
        </is>
      </c>
      <c r="C35" t="inlineStr">
        <is>
          <t>ALKEM:200</t>
        </is>
      </c>
      <c r="D35" t="inlineStr">
        <is>
          <t>RRK2501</t>
        </is>
      </c>
      <c r="E35" t="inlineStr">
        <is>
          <t>03/2027</t>
        </is>
      </c>
      <c r="F35" t="n">
        <v>2740</v>
      </c>
      <c r="G35" t="n">
        <v>320</v>
      </c>
      <c r="H35" t="n">
        <v>3</v>
      </c>
      <c r="I35">
        <f>G35*H35</f>
        <v/>
      </c>
    </row>
    <row r="36">
      <c r="A36" t="n">
        <v>29</v>
      </c>
      <c r="B36" t="inlineStr">
        <is>
          <t>AB PEPTIN DROP 15ML</t>
        </is>
      </c>
      <c r="C36" t="inlineStr">
        <is>
          <t>MAYB:36*15M</t>
        </is>
      </c>
      <c r="D36" t="inlineStr">
        <is>
          <t>L3H2516</t>
        </is>
      </c>
      <c r="E36" t="inlineStr">
        <is>
          <t>01/2026</t>
        </is>
      </c>
      <c r="F36" t="n">
        <v>71</v>
      </c>
      <c r="G36" t="n">
        <v>13.5</v>
      </c>
      <c r="H36" t="n">
        <v>36</v>
      </c>
      <c r="I36">
        <f>G36*H36</f>
        <v/>
      </c>
    </row>
    <row r="37">
      <c r="A37" t="n">
        <v>30</v>
      </c>
      <c r="B37" t="inlineStr">
        <is>
          <t>INTAPEPTIN 60ML</t>
        </is>
      </c>
      <c r="C37" t="inlineStr">
        <is>
          <t>INTAS:60ML</t>
        </is>
      </c>
      <c r="D37" t="inlineStr">
        <is>
          <t>L3H2501</t>
        </is>
      </c>
      <c r="E37" t="inlineStr">
        <is>
          <t>01/2026</t>
        </is>
      </c>
      <c r="F37" t="n">
        <v>105</v>
      </c>
      <c r="G37" t="n">
        <v>16.75</v>
      </c>
      <c r="H37" t="n">
        <v>20</v>
      </c>
      <c r="I37">
        <f>G37*H37</f>
        <v/>
      </c>
    </row>
    <row r="38">
      <c r="A38" t="n">
        <v>31</v>
      </c>
      <c r="B38" t="inlineStr">
        <is>
          <t>MONTINOR LC SYP 60 ML</t>
        </is>
      </c>
      <c r="C38" t="inlineStr">
        <is>
          <t>ALBER:1</t>
        </is>
      </c>
      <c r="D38" t="inlineStr">
        <is>
          <t>S-250615</t>
        </is>
      </c>
      <c r="E38" t="inlineStr">
        <is>
          <t>05/2027</t>
        </is>
      </c>
      <c r="F38" t="n">
        <v>245</v>
      </c>
      <c r="G38" t="n">
        <v>22</v>
      </c>
      <c r="H38" t="n">
        <v>20</v>
      </c>
      <c r="I38">
        <f>G38*H38</f>
        <v/>
      </c>
    </row>
    <row r="39">
      <c r="A39" t="n">
        <v>32</v>
      </c>
      <c r="B39" t="inlineStr">
        <is>
          <t>SKINSHINE OIN</t>
        </is>
      </c>
      <c r="C39" t="inlineStr">
        <is>
          <t>CADIL:1*30</t>
        </is>
      </c>
      <c r="D39" t="inlineStr">
        <is>
          <t>EZ25339</t>
        </is>
      </c>
      <c r="E39" t="inlineStr">
        <is>
          <t>04/2026</t>
        </is>
      </c>
      <c r="F39" t="n">
        <v>149.9</v>
      </c>
      <c r="G39" t="n">
        <v>33.75</v>
      </c>
      <c r="H39" t="n">
        <v>30</v>
      </c>
      <c r="I39">
        <f>G39*H39</f>
        <v/>
      </c>
    </row>
    <row r="40">
      <c r="A40" t="n">
        <v>33</v>
      </c>
      <c r="B40" t="inlineStr">
        <is>
          <t>CHYAWANPRASH 1KG</t>
        </is>
      </c>
      <c r="C40" t="inlineStr">
        <is>
          <t>RANBA:1KG</t>
        </is>
      </c>
      <c r="D40" t="inlineStr">
        <is>
          <t>NBZ2500</t>
        </is>
      </c>
      <c r="E40" t="inlineStr">
        <is>
          <t>07/2027</t>
        </is>
      </c>
      <c r="F40" t="n">
        <v>370</v>
      </c>
      <c r="G40" t="n">
        <v>170</v>
      </c>
      <c r="H40" t="n">
        <v>5</v>
      </c>
      <c r="I40">
        <f>G40*H40</f>
        <v/>
      </c>
    </row>
    <row r="41">
      <c r="A41" t="n">
        <v>34</v>
      </c>
      <c r="B41" t="inlineStr">
        <is>
          <t>CHYAWANPRASH 500 GM</t>
        </is>
      </c>
      <c r="C41" t="inlineStr">
        <is>
          <t>RANBA:500GM</t>
        </is>
      </c>
      <c r="D41" t="inlineStr">
        <is>
          <t>NGY2500</t>
        </is>
      </c>
      <c r="E41" t="inlineStr">
        <is>
          <t>09/2026</t>
        </is>
      </c>
      <c r="F41" t="n">
        <v>210</v>
      </c>
      <c r="G41" t="n">
        <v>105</v>
      </c>
      <c r="H41" t="n">
        <v>5</v>
      </c>
      <c r="I41">
        <f>G41*H41</f>
        <v/>
      </c>
    </row>
    <row r="42">
      <c r="A42" t="n">
        <v>35</v>
      </c>
      <c r="B42" t="inlineStr">
        <is>
          <t>DOLO PAIN SPRAY</t>
        </is>
      </c>
      <c r="C42" t="inlineStr">
        <is>
          <t>MICRO:55GM</t>
        </is>
      </c>
      <c r="D42" t="inlineStr">
        <is>
          <t>MDP2520</t>
        </is>
      </c>
      <c r="E42" t="inlineStr">
        <is>
          <t>08/2027</t>
        </is>
      </c>
      <c r="F42" t="n">
        <v>131.8</v>
      </c>
      <c r="G42" t="n">
        <v>77</v>
      </c>
      <c r="H42" t="n">
        <v>24</v>
      </c>
      <c r="I42">
        <f>G42*H42</f>
        <v/>
      </c>
    </row>
    <row r="43">
      <c r="A43" t="n">
        <v>36</v>
      </c>
      <c r="B43" t="inlineStr">
        <is>
          <t>ALBOZOLID TAB 600MG</t>
        </is>
      </c>
      <c r="C43" t="inlineStr">
        <is>
          <t>ALBER:10*10</t>
        </is>
      </c>
      <c r="D43" t="inlineStr">
        <is>
          <t>T-250606</t>
        </is>
      </c>
      <c r="E43" t="inlineStr">
        <is>
          <t>05/2026</t>
        </is>
      </c>
      <c r="F43" t="n">
        <v>370.94</v>
      </c>
      <c r="G43" t="n">
        <v>105</v>
      </c>
      <c r="H43" t="n">
        <v>20</v>
      </c>
      <c r="I43">
        <f>G43*H43</f>
        <v/>
      </c>
    </row>
    <row r="44">
      <c r="A44" t="n">
        <v>37</v>
      </c>
      <c r="B44" t="inlineStr">
        <is>
          <t>CALBERT D3 60K CAP</t>
        </is>
      </c>
      <c r="C44" t="inlineStr">
        <is>
          <t>ALBER:1*4</t>
        </is>
      </c>
      <c r="D44" t="inlineStr">
        <is>
          <t>VHD2506</t>
        </is>
      </c>
      <c r="E44" t="inlineStr">
        <is>
          <t>05/2027</t>
        </is>
      </c>
      <c r="F44" t="n">
        <v>137.84</v>
      </c>
      <c r="G44" t="n">
        <v>18.5</v>
      </c>
      <c r="H44" t="n">
        <v>20</v>
      </c>
      <c r="I44">
        <f>G44*H44</f>
        <v/>
      </c>
    </row>
    <row r="45">
      <c r="A45" t="n">
        <v>38</v>
      </c>
      <c r="B45" t="inlineStr">
        <is>
          <t>CHYMOTAS FORTE TAB</t>
        </is>
      </c>
      <c r="C45" t="inlineStr">
        <is>
          <t>INTAS:10*20</t>
        </is>
      </c>
      <c r="D45" t="inlineStr">
        <is>
          <t>23S25TB6</t>
        </is>
      </c>
      <c r="E45" t="inlineStr">
        <is>
          <t>05/2026</t>
        </is>
      </c>
      <c r="F45" t="n">
        <v>4320</v>
      </c>
      <c r="G45" t="n">
        <v>440</v>
      </c>
      <c r="H45" t="n">
        <v>2</v>
      </c>
      <c r="I45">
        <f>G45*H45</f>
        <v/>
      </c>
    </row>
    <row r="46">
      <c r="A46" t="n">
        <v>39</v>
      </c>
      <c r="B46" t="inlineStr">
        <is>
          <t>PANTOBERT 40 TAB</t>
        </is>
      </c>
      <c r="C46" t="inlineStr">
        <is>
          <t>ALBER:20*10</t>
        </is>
      </c>
      <c r="D46" t="inlineStr">
        <is>
          <t>DD25221</t>
        </is>
      </c>
      <c r="E46" t="inlineStr">
        <is>
          <t>11/2026</t>
        </is>
      </c>
      <c r="F46" t="n">
        <v>2300</v>
      </c>
      <c r="G46" t="n">
        <v>210</v>
      </c>
      <c r="H46" t="n">
        <v>1</v>
      </c>
      <c r="I46">
        <f>G46*H46</f>
        <v/>
      </c>
    </row>
    <row r="47">
      <c r="A47" t="n">
        <v>40</v>
      </c>
      <c r="B47" t="inlineStr">
        <is>
          <t>PANTOBERT D TAB</t>
        </is>
      </c>
      <c r="C47" t="inlineStr">
        <is>
          <t>ALBER:20*10</t>
        </is>
      </c>
      <c r="D47" t="inlineStr">
        <is>
          <t>230725A</t>
        </is>
      </c>
      <c r="E47" t="inlineStr">
        <is>
          <t>06/2027</t>
        </is>
      </c>
      <c r="F47" t="n">
        <v>175.65</v>
      </c>
      <c r="G47" t="n">
        <v>235</v>
      </c>
      <c r="H47" t="n">
        <v>2</v>
      </c>
      <c r="I47">
        <f>G47*H47</f>
        <v/>
      </c>
    </row>
    <row r="48">
      <c r="A48" t="n">
        <v>41</v>
      </c>
      <c r="B48" t="inlineStr">
        <is>
          <t>MOXABERT CV TAB 625MG</t>
        </is>
      </c>
      <c r="C48" t="inlineStr">
        <is>
          <t>ALBER:20*10</t>
        </is>
      </c>
      <c r="D48" t="inlineStr">
        <is>
          <t>MB256AA</t>
        </is>
      </c>
      <c r="E48" t="inlineStr">
        <is>
          <t>05/2026</t>
        </is>
      </c>
      <c r="F48" t="n">
        <v>201.66</v>
      </c>
      <c r="G48" t="n">
        <v>68</v>
      </c>
      <c r="H48" t="n">
        <v>80</v>
      </c>
      <c r="I48">
        <f>G48*H48</f>
        <v/>
      </c>
    </row>
    <row r="49">
      <c r="A49" t="n">
        <v>42</v>
      </c>
      <c r="B49" t="inlineStr">
        <is>
          <t>MAHANAC S TAB</t>
        </is>
      </c>
      <c r="C49" t="inlineStr">
        <is>
          <t>ZEVEN:20*10</t>
        </is>
      </c>
      <c r="D49" t="inlineStr">
        <is>
          <t>SCZ2503</t>
        </is>
      </c>
      <c r="E49" t="inlineStr">
        <is>
          <t>06/2027</t>
        </is>
      </c>
      <c r="F49" t="n">
        <v>147.9</v>
      </c>
      <c r="G49" t="n">
        <v>330</v>
      </c>
      <c r="H49" t="n">
        <v>2</v>
      </c>
      <c r="I49">
        <f>G49*H49</f>
        <v/>
      </c>
    </row>
    <row r="50">
      <c r="A50" t="n">
        <v>43</v>
      </c>
      <c r="B50" t="inlineStr">
        <is>
          <t>METHARGO TAB</t>
        </is>
      </c>
      <c r="C50" t="inlineStr">
        <is>
          <t>MANKI:10</t>
        </is>
      </c>
      <c r="D50" t="inlineStr">
        <is>
          <t>PAD25CD</t>
        </is>
      </c>
      <c r="E50" t="inlineStr">
        <is>
          <t>12/2026</t>
        </is>
      </c>
      <c r="F50" t="n">
        <v>2929.8</v>
      </c>
      <c r="G50" t="n">
        <v>405</v>
      </c>
      <c r="H50" t="n">
        <v>2</v>
      </c>
      <c r="I50">
        <f>G50*H50</f>
        <v/>
      </c>
    </row>
    <row r="51">
      <c r="A51" t="n">
        <v>44</v>
      </c>
      <c r="B51" t="inlineStr">
        <is>
          <t>PROTISUN POWDER CHOCOLATE</t>
        </is>
      </c>
      <c r="C51" t="inlineStr">
        <is>
          <t>SUNLI:200GM</t>
        </is>
      </c>
      <c r="D51" t="inlineStr">
        <is>
          <t>AP-25313</t>
        </is>
      </c>
      <c r="E51" t="inlineStr">
        <is>
          <t>11/2026</t>
        </is>
      </c>
      <c r="F51" t="n">
        <v>405</v>
      </c>
      <c r="G51" t="n">
        <v>36</v>
      </c>
      <c r="H51" t="n">
        <v>50</v>
      </c>
      <c r="I51">
        <f>G51*H51</f>
        <v/>
      </c>
    </row>
    <row r="52">
      <c r="H52" s="3" t="inlineStr">
        <is>
          <t>Sub Total</t>
        </is>
      </c>
      <c r="I52" s="3">
        <f>SUM(I8:I51)</f>
        <v/>
      </c>
    </row>
    <row r="53">
      <c r="H53" s="3" t="inlineStr">
        <is>
          <t>CGST (6%)</t>
        </is>
      </c>
      <c r="I53" s="3">
        <f>I52*0.06</f>
        <v/>
      </c>
    </row>
    <row r="54">
      <c r="H54" s="3" t="inlineStr">
        <is>
          <t>SGST (6%)</t>
        </is>
      </c>
      <c r="I54" s="3">
        <f>I52*0.06</f>
        <v/>
      </c>
    </row>
    <row r="55">
      <c r="H55" s="5" t="inlineStr">
        <is>
          <t>GRAND TOTAL</t>
        </is>
      </c>
      <c r="I55" s="5">
        <f>SUM(I52:I54)</f>
        <v/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2026-08-07T16:38:05Z</dcterms:created>
  <dcterms:modified xmlns:dcterms="http://purl.org/dc/terms/" xmlns:xsi="http://www.w3.org/2001/XMLSchema-instance" xsi:type="dcterms:W3CDTF">2026-08-07T16:38:05Z</dcterms:modified>
</cp:coreProperties>
</file>